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oC2025\Excel\"/>
    </mc:Choice>
  </mc:AlternateContent>
  <xr:revisionPtr revIDLastSave="0" documentId="13_ncr:1_{07983805-30E6-44B1-AED7-C966AACB5322}" xr6:coauthVersionLast="47" xr6:coauthVersionMax="47" xr10:uidLastSave="{00000000-0000-0000-0000-000000000000}"/>
  <bookViews>
    <workbookView xWindow="4920" yWindow="585" windowWidth="28800" windowHeight="16905" xr2:uid="{C7083E4A-E206-4215-B6A6-391904B6ED1C}"/>
  </bookViews>
  <sheets>
    <sheet name="Hoja1" sheetId="1" r:id="rId1"/>
    <sheet name="Hoja1 (2)" sheetId="2" r:id="rId2"/>
    <sheet name="Hoja1 (3)" sheetId="3" r:id="rId3"/>
    <sheet name="Hoja1 (4)" sheetId="4" r:id="rId4"/>
    <sheet name="Hoja1 (5)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 a="1"/>
  <c r="C21" i="4" s="1"/>
  <c r="C6" i="4" a="1"/>
  <c r="C6" i="4" s="1"/>
  <c r="C6" i="3" a="1"/>
  <c r="C6" i="3" s="1"/>
  <c r="G21" i="2" a="1"/>
  <c r="G21" i="2" s="1"/>
  <c r="C3" i="1" a="1"/>
  <c r="C3" i="1" s="1"/>
  <c r="C6" i="1" s="1" a="1"/>
  <c r="C6" i="1" s="1"/>
  <c r="C10" i="1" s="1" a="1"/>
  <c r="C10" i="1" s="1"/>
  <c r="G6" i="2" a="1"/>
  <c r="G6" i="2" s="1"/>
  <c r="C6" i="2" a="1"/>
  <c r="C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 = xl(%P2%)
part_1 = sum(n for a,b in (x.split("-") for x in f.split(","))
    for n in range(int(a),int(b)+1)
    for s in [str(n)] if len(s)%%2==0 and s[:len(s)//2]*2==s)
part_2 = sum(n for a,b in (x.split("-") for x in f.split(","))
    for n in range(int(a),int(b)+1) for s in [str(n)] if any(s[:k]*(len(s)//k)==s
    for k in range(1,len(s)//2+1) if len(s)%%k==0))
"Perform data manipulation"</code>
    </pythonScript>
    <pythonScript>
      <code>part_1</code>
    </pythonScript>
    <pythonScript>
      <code>part_2</code>
    </pythonScript>
  </pythonScripts>
</python>
</file>

<file path=xl/sharedStrings.xml><?xml version="1.0" encoding="utf-8"?>
<sst xmlns="http://schemas.openxmlformats.org/spreadsheetml/2006/main" count="87" uniqueCount="58">
  <si>
    <t>4487-9581,755745207-755766099,954895848-955063124,4358832-4497315,15-47,1-12,9198808-9258771,657981-762275,6256098346-6256303872,142-282,13092529-13179528,96201296-96341879,19767340-19916378,2809036-2830862,335850-499986,172437-315144,764434-793133,910543-1082670,2142179-2279203,6649545-6713098,6464587849-6464677024,858399-904491,1328-4021,72798-159206,89777719-90005812,91891792-91938279,314-963,48-130,527903-594370,24240-60212</t>
  </si>
  <si>
    <r>
      <t>f</t>
    </r>
    <r>
      <rPr>
        <sz val="11"/>
        <color rgb="FFD4D4D4"/>
        <rFont val="Consolas"/>
        <family val="3"/>
      </rPr>
      <t xml:space="preserve"> = </t>
    </r>
    <r>
      <rPr>
        <sz val="11"/>
        <color rgb="FFDCDCAA"/>
        <rFont val="Consolas"/>
        <family val="3"/>
      </rPr>
      <t>xl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"A1"</t>
    </r>
    <r>
      <rPr>
        <sz val="11"/>
        <color rgb="FFD4D4D4"/>
        <rFont val="Consolas"/>
        <family val="3"/>
      </rPr>
      <t>)</t>
    </r>
  </si>
  <si>
    <r>
      <t>part_1</t>
    </r>
    <r>
      <rPr>
        <sz val="11"/>
        <color rgb="FFD4D4D4"/>
        <rFont val="Consolas"/>
        <family val="3"/>
      </rPr>
      <t xml:space="preserve"> = </t>
    </r>
    <r>
      <rPr>
        <sz val="11"/>
        <color rgb="FFDCDCAA"/>
        <rFont val="Consolas"/>
        <family val="3"/>
      </rPr>
      <t>sum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(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>.split(</t>
    </r>
    <r>
      <rPr>
        <sz val="11"/>
        <color rgb="FFCE9178"/>
        <rFont val="Consolas"/>
        <family val="3"/>
      </rPr>
      <t>"-"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>.split(</t>
    </r>
    <r>
      <rPr>
        <sz val="11"/>
        <color rgb="FFCE9178"/>
        <rFont val="Consolas"/>
        <family val="3"/>
      </rPr>
      <t>","</t>
    </r>
    <r>
      <rPr>
        <sz val="11"/>
        <color rgb="FFD4D4D4"/>
        <rFont val="Consolas"/>
        <family val="3"/>
      </rPr>
      <t>))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</si>
  <si>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range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int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),</t>
    </r>
    <r>
      <rPr>
        <sz val="11"/>
        <color rgb="FF4EC9B0"/>
        <rFont val="Consolas"/>
        <family val="3"/>
      </rPr>
      <t>int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)+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)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</si>
  <si>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[</t>
    </r>
    <r>
      <rPr>
        <sz val="11"/>
        <color rgb="FF4EC9B0"/>
        <rFont val="Consolas"/>
        <family val="3"/>
      </rPr>
      <t>str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 xml:space="preserve">)]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len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)%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>==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and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[:</t>
    </r>
    <r>
      <rPr>
        <sz val="11"/>
        <color rgb="FFDCDCAA"/>
        <rFont val="Consolas"/>
        <family val="3"/>
      </rPr>
      <t>len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)//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>]*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>==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)</t>
    </r>
  </si>
  <si>
    <r>
      <t>part_2</t>
    </r>
    <r>
      <rPr>
        <sz val="11"/>
        <color rgb="FFD4D4D4"/>
        <rFont val="Consolas"/>
        <family val="3"/>
      </rPr>
      <t xml:space="preserve"> = </t>
    </r>
    <r>
      <rPr>
        <sz val="11"/>
        <color rgb="FFDCDCAA"/>
        <rFont val="Consolas"/>
        <family val="3"/>
      </rPr>
      <t>sum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(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>.split(</t>
    </r>
    <r>
      <rPr>
        <sz val="11"/>
        <color rgb="FFCE9178"/>
        <rFont val="Consolas"/>
        <family val="3"/>
      </rPr>
      <t>"-"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>.split(</t>
    </r>
    <r>
      <rPr>
        <sz val="11"/>
        <color rgb="FFCE9178"/>
        <rFont val="Consolas"/>
        <family val="3"/>
      </rPr>
      <t>","</t>
    </r>
    <r>
      <rPr>
        <sz val="11"/>
        <color rgb="FFD4D4D4"/>
        <rFont val="Consolas"/>
        <family val="3"/>
      </rPr>
      <t>))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</si>
  <si>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range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int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),</t>
    </r>
    <r>
      <rPr>
        <sz val="11"/>
        <color rgb="FF4EC9B0"/>
        <rFont val="Consolas"/>
        <family val="3"/>
      </rPr>
      <t>int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)+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[</t>
    </r>
    <r>
      <rPr>
        <sz val="11"/>
        <color rgb="FF4EC9B0"/>
        <rFont val="Consolas"/>
        <family val="3"/>
      </rPr>
      <t>str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 xml:space="preserve">)]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any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[:</t>
    </r>
    <r>
      <rPr>
        <sz val="11"/>
        <color rgb="FF9CDCFE"/>
        <rFont val="Consolas"/>
        <family val="3"/>
      </rPr>
      <t>k</t>
    </r>
    <r>
      <rPr>
        <sz val="11"/>
        <color rgb="FFD4D4D4"/>
        <rFont val="Consolas"/>
        <family val="3"/>
      </rPr>
      <t>]*(</t>
    </r>
    <r>
      <rPr>
        <sz val="11"/>
        <color rgb="FFDCDCAA"/>
        <rFont val="Consolas"/>
        <family val="3"/>
      </rPr>
      <t>len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)//</t>
    </r>
    <r>
      <rPr>
        <sz val="11"/>
        <color rgb="FF9CDCFE"/>
        <rFont val="Consolas"/>
        <family val="3"/>
      </rPr>
      <t>k</t>
    </r>
    <r>
      <rPr>
        <sz val="11"/>
        <color rgb="FFD4D4D4"/>
        <rFont val="Consolas"/>
        <family val="3"/>
      </rPr>
      <t>)==</t>
    </r>
    <r>
      <rPr>
        <sz val="11"/>
        <color rgb="FF9CDCFE"/>
        <rFont val="Consolas"/>
        <family val="3"/>
      </rPr>
      <t>s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</si>
  <si>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k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range</t>
    </r>
    <r>
      <rPr>
        <sz val="11"/>
        <color rgb="FFD4D4D4"/>
        <rFont val="Consolas"/>
        <family val="3"/>
      </rPr>
      <t>(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,</t>
    </r>
    <r>
      <rPr>
        <sz val="11"/>
        <color rgb="FFDCDCAA"/>
        <rFont val="Consolas"/>
        <family val="3"/>
      </rPr>
      <t>len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)//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>+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len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)%</t>
    </r>
    <r>
      <rPr>
        <sz val="11"/>
        <color rgb="FF9CDCFE"/>
        <rFont val="Consolas"/>
        <family val="3"/>
      </rPr>
      <t>k</t>
    </r>
    <r>
      <rPr>
        <sz val="11"/>
        <color rgb="FFD4D4D4"/>
        <rFont val="Consolas"/>
        <family val="3"/>
      </rPr>
      <t>==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))</t>
    </r>
  </si>
  <si>
    <t>"Perform data manipulation"</t>
  </si>
  <si>
    <t>Part1</t>
  </si>
  <si>
    <t>Part2</t>
  </si>
  <si>
    <t>part_1</t>
  </si>
  <si>
    <t>part_2</t>
  </si>
  <si>
    <r>
      <t>=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</si>
  <si>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</t>
    </r>
    <r>
      <rPr>
        <b/>
        <sz val="11"/>
        <color rgb="FF0969DA"/>
        <rFont val="Consolas"/>
        <family val="3"/>
      </rPr>
      <t>_a</t>
    </r>
    <r>
      <rPr>
        <b/>
        <sz val="11"/>
        <color rgb="FF000000"/>
        <rFont val="Consolas"/>
        <family val="3"/>
      </rPr>
      <t>, A1,</t>
    </r>
  </si>
  <si>
    <r>
      <t xml:space="preserve">    </t>
    </r>
    <r>
      <rPr>
        <b/>
        <sz val="11"/>
        <color rgb="FF0969DA"/>
        <rFont val="Consolas"/>
        <family val="3"/>
      </rPr>
      <t>_b</t>
    </r>
    <r>
      <rPr>
        <b/>
        <sz val="11"/>
        <color rgb="FF000000"/>
        <rFont val="Consolas"/>
        <family val="3"/>
      </rPr>
      <t>, --</t>
    </r>
    <r>
      <rPr>
        <b/>
        <sz val="11"/>
        <color rgb="FF033D8B"/>
        <rFont val="Consolas"/>
        <family val="3"/>
      </rPr>
      <t>TEXTSPLIT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"-"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","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</si>
  <si>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</t>
    </r>
  </si>
  <si>
    <r>
      <t xml:space="preserve">        </t>
    </r>
    <r>
      <rPr>
        <b/>
        <sz val="11"/>
        <color rgb="FF033D8B"/>
        <rFont val="Consolas"/>
        <family val="3"/>
      </rPr>
      <t>MAP</t>
    </r>
    <r>
      <rPr>
        <b/>
        <sz val="11"/>
        <color rgb="FF000000"/>
        <rFont val="Consolas"/>
        <family val="3"/>
      </rPr>
      <t>(</t>
    </r>
  </si>
  <si>
    <r>
      <t xml:space="preserve">            </t>
    </r>
    <r>
      <rPr>
        <b/>
        <sz val="11"/>
        <color rgb="FF033D8B"/>
        <rFont val="Consolas"/>
        <family val="3"/>
      </rPr>
      <t>CHOOSECOLS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_b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>),</t>
    </r>
  </si>
  <si>
    <r>
      <t xml:space="preserve">            </t>
    </r>
    <r>
      <rPr>
        <b/>
        <sz val="11"/>
        <color rgb="FF033D8B"/>
        <rFont val="Consolas"/>
        <family val="3"/>
      </rPr>
      <t>CHOOSECOLS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_b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),</t>
    </r>
  </si>
  <si>
    <r>
      <t xml:space="preserve">           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>,</t>
    </r>
  </si>
  <si>
    <r>
      <t xml:space="preserve">                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</si>
  <si>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                </t>
    </r>
    <r>
      <rPr>
        <b/>
        <sz val="11"/>
        <color rgb="FF0969DA"/>
        <rFont val="Consolas"/>
        <family val="3"/>
      </rPr>
      <t>_d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""</t>
    </r>
    <r>
      <rPr>
        <b/>
        <sz val="11"/>
        <color rgb="FF000000"/>
        <rFont val="Consolas"/>
        <family val="3"/>
      </rPr>
      <t xml:space="preserve"> &amp; 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 - 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 xml:space="preserve"> +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, 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>),</t>
    </r>
  </si>
  <si>
    <r>
      <t xml:space="preserve">                    </t>
    </r>
    <r>
      <rPr>
        <b/>
        <sz val="11"/>
        <color rgb="FF0969DA"/>
        <rFont val="Consolas"/>
        <family val="3"/>
      </rPr>
      <t>_e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FILTER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_d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REPT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LEFT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_d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ROUNDUP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_d</t>
    </r>
    <r>
      <rPr>
        <b/>
        <sz val="11"/>
        <color rgb="FF000000"/>
        <rFont val="Consolas"/>
        <family val="3"/>
      </rPr>
      <t xml:space="preserve">) / 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 xml:space="preserve">)), 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0969DA"/>
        <rFont val="Consolas"/>
        <family val="3"/>
      </rPr>
      <t>_d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>),</t>
    </r>
  </si>
  <si>
    <r>
      <t xml:space="preserve">                    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(--</t>
    </r>
    <r>
      <rPr>
        <b/>
        <sz val="11"/>
        <color rgb="FF0969DA"/>
        <rFont val="Consolas"/>
        <family val="3"/>
      </rPr>
      <t>_e</t>
    </r>
    <r>
      <rPr>
        <b/>
        <sz val="11"/>
        <color rgb="FF000000"/>
        <rFont val="Consolas"/>
        <family val="3"/>
      </rPr>
      <t>))))))</t>
    </r>
  </si>
  <si>
    <r>
      <t xml:space="preserve">                    </t>
    </r>
    <r>
      <rPr>
        <b/>
        <sz val="11"/>
        <color rgb="FF0969DA"/>
        <rFont val="Consolas"/>
        <family val="3"/>
      </rPr>
      <t>_e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 xml:space="preserve">(, </t>
    </r>
    <r>
      <rPr>
        <b/>
        <sz val="11"/>
        <color rgb="FF033D8B"/>
        <rFont val="Consolas"/>
        <family val="3"/>
      </rPr>
      <t>MAX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_d</t>
    </r>
    <r>
      <rPr>
        <b/>
        <sz val="11"/>
        <color rgb="FF000000"/>
        <rFont val="Consolas"/>
        <family val="3"/>
      </rPr>
      <t xml:space="preserve">)) -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>),</t>
    </r>
  </si>
  <si>
    <r>
      <t xml:space="preserve">                    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</t>
    </r>
  </si>
  <si>
    <r>
      <t>                        --</t>
    </r>
    <r>
      <rPr>
        <b/>
        <sz val="11"/>
        <color rgb="FF033D8B"/>
        <rFont val="Consolas"/>
        <family val="3"/>
      </rPr>
      <t>FILTER</t>
    </r>
    <r>
      <rPr>
        <b/>
        <sz val="11"/>
        <color rgb="FF000000"/>
        <rFont val="Consolas"/>
        <family val="3"/>
      </rPr>
      <t>(</t>
    </r>
  </si>
  <si>
    <r>
      <t xml:space="preserve">                            </t>
    </r>
    <r>
      <rPr>
        <b/>
        <sz val="11"/>
        <color rgb="FF0969DA"/>
        <rFont val="Consolas"/>
        <family val="3"/>
      </rPr>
      <t>_d</t>
    </r>
    <r>
      <rPr>
        <b/>
        <sz val="11"/>
        <color rgb="FF000000"/>
        <rFont val="Consolas"/>
        <family val="3"/>
      </rPr>
      <t>,</t>
    </r>
  </si>
  <si>
    <r>
      <t xml:space="preserve">                            </t>
    </r>
    <r>
      <rPr>
        <b/>
        <sz val="11"/>
        <color rgb="FF033D8B"/>
        <rFont val="Consolas"/>
        <family val="3"/>
      </rPr>
      <t>BYROW</t>
    </r>
    <r>
      <rPr>
        <b/>
        <sz val="11"/>
        <color rgb="FF000000"/>
        <rFont val="Consolas"/>
        <family val="3"/>
      </rPr>
      <t>(--(</t>
    </r>
    <r>
      <rPr>
        <b/>
        <sz val="11"/>
        <color rgb="FF033D8B"/>
        <rFont val="Consolas"/>
        <family val="3"/>
      </rPr>
      <t>REPT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LEFT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_d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ROUNDUP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_d</t>
    </r>
    <r>
      <rPr>
        <b/>
        <sz val="11"/>
        <color rgb="FF000000"/>
        <rFont val="Consolas"/>
        <family val="3"/>
      </rPr>
      <t xml:space="preserve">) / </t>
    </r>
    <r>
      <rPr>
        <b/>
        <sz val="11"/>
        <color rgb="FF0969DA"/>
        <rFont val="Consolas"/>
        <family val="3"/>
      </rPr>
      <t>_e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 xml:space="preserve">)), </t>
    </r>
    <r>
      <rPr>
        <b/>
        <sz val="11"/>
        <color rgb="FF0969DA"/>
        <rFont val="Consolas"/>
        <family val="3"/>
      </rPr>
      <t>_e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0969DA"/>
        <rFont val="Consolas"/>
        <family val="3"/>
      </rPr>
      <t>_d</t>
    </r>
    <r>
      <rPr>
        <b/>
        <sz val="11"/>
        <color rgb="FF000000"/>
        <rFont val="Consolas"/>
        <family val="3"/>
      </rPr>
      <t>), SUMA),</t>
    </r>
  </si>
  <si>
    <r>
      <t xml:space="preserve">                           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>)))))))</t>
    </r>
  </si>
  <si>
    <r>
      <t xml:space="preserve">    </t>
    </r>
    <r>
      <rPr>
        <b/>
        <sz val="11"/>
        <color rgb="FF0969DA"/>
        <rFont val="Consolas"/>
        <family val="3"/>
      </rPr>
      <t>r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TEXTSPLIT</t>
    </r>
    <r>
      <rPr>
        <b/>
        <sz val="11"/>
        <color rgb="FF000000"/>
        <rFont val="Consolas"/>
        <family val="3"/>
      </rPr>
      <t xml:space="preserve">(A1, </t>
    </r>
    <r>
      <rPr>
        <b/>
        <sz val="11"/>
        <color rgb="FFA31515"/>
        <rFont val="Consolas"/>
        <family val="3"/>
      </rPr>
      <t>"-"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","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</si>
  <si>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33D8B"/>
        <rFont val="Consolas"/>
        <family val="3"/>
      </rPr>
      <t>MAP</t>
    </r>
    <r>
      <rPr>
        <b/>
        <sz val="11"/>
        <color rgb="FF000000"/>
        <rFont val="Consolas"/>
        <family val="3"/>
      </rPr>
      <t>(</t>
    </r>
  </si>
  <si>
    <r>
      <t>        {</t>
    </r>
    <r>
      <rPr>
        <b/>
        <sz val="11"/>
        <color rgb="FFA31515"/>
        <rFont val="Consolas"/>
        <family val="3"/>
      </rPr>
      <t>"$"</t>
    </r>
    <r>
      <rPr>
        <b/>
        <sz val="11"/>
        <color rgb="FF000000"/>
        <rFont val="Consolas"/>
        <family val="3"/>
      </rPr>
      <t xml:space="preserve">; </t>
    </r>
    <r>
      <rPr>
        <b/>
        <sz val="11"/>
        <color rgb="FFA31515"/>
        <rFont val="Consolas"/>
        <family val="3"/>
      </rPr>
      <t>"+$"</t>
    </r>
    <r>
      <rPr>
        <b/>
        <sz val="11"/>
        <color rgb="FF000000"/>
        <rFont val="Consolas"/>
        <family val="3"/>
      </rPr>
      <t>},</t>
    </r>
  </si>
  <si>
    <r>
      <t xml:space="preserve">       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z</t>
    </r>
    <r>
      <rPr>
        <b/>
        <sz val="11"/>
        <color rgb="FF000000"/>
        <rFont val="Consolas"/>
        <family val="3"/>
      </rPr>
      <t>,</t>
    </r>
  </si>
  <si>
    <r>
      <t xml:space="preserve">            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</t>
    </r>
  </si>
  <si>
    <r>
      <t xml:space="preserve">                </t>
    </r>
    <r>
      <rPr>
        <b/>
        <sz val="11"/>
        <color rgb="FF033D8B"/>
        <rFont val="Consolas"/>
        <family val="3"/>
      </rPr>
      <t>MAP</t>
    </r>
    <r>
      <rPr>
        <b/>
        <sz val="11"/>
        <color rgb="FF000000"/>
        <rFont val="Consolas"/>
        <family val="3"/>
      </rPr>
      <t>(</t>
    </r>
  </si>
  <si>
    <r>
      <t xml:space="preserve">                    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r</t>
    </r>
    <r>
      <rPr>
        <b/>
        <sz val="11"/>
        <color rgb="FF000000"/>
        <rFont val="Consolas"/>
        <family val="3"/>
      </rPr>
      <t xml:space="preserve">, 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),</t>
    </r>
  </si>
  <si>
    <r>
      <t xml:space="preserve">                    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r</t>
    </r>
    <r>
      <rPr>
        <b/>
        <sz val="11"/>
        <color rgb="FF000000"/>
        <rFont val="Consolas"/>
        <family val="3"/>
      </rPr>
      <t xml:space="preserve">, 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>),</t>
    </r>
  </si>
  <si>
    <r>
      <t xml:space="preserve">                   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>,</t>
    </r>
  </si>
  <si>
    <r>
      <t xml:space="preserve">                        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</si>
  <si>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                        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 -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 +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,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>),</t>
    </r>
  </si>
  <si>
    <r>
      <t xml:space="preserve">                            </t>
    </r>
    <r>
      <rPr>
        <b/>
        <sz val="11"/>
        <color rgb="FF033D8B"/>
        <rFont val="Consolas"/>
        <family val="3"/>
      </rPr>
      <t>SUMPRODUCT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>, --REGEXPRUEBA(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"^(.+)\1"</t>
    </r>
    <r>
      <rPr>
        <b/>
        <sz val="11"/>
        <color rgb="FF000000"/>
        <rFont val="Consolas"/>
        <family val="3"/>
      </rPr>
      <t xml:space="preserve"> &amp; </t>
    </r>
    <r>
      <rPr>
        <b/>
        <sz val="11"/>
        <color rgb="FF0969DA"/>
        <rFont val="Consolas"/>
        <family val="3"/>
      </rPr>
      <t>z</t>
    </r>
    <r>
      <rPr>
        <b/>
        <sz val="11"/>
        <color rgb="FF000000"/>
        <rFont val="Consolas"/>
        <family val="3"/>
      </rPr>
      <t>)))))))))</t>
    </r>
  </si>
  <si>
    <r>
      <t xml:space="preserve">   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>, A1,</t>
    </r>
  </si>
  <si>
    <r>
      <t xml:space="preserve">    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TEXTSPLIT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","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</si>
  <si>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REDUCE</t>
    </r>
    <r>
      <rPr>
        <b/>
        <sz val="11"/>
        <color rgb="FF000000"/>
        <rFont val="Consolas"/>
        <family val="3"/>
      </rPr>
      <t>(</t>
    </r>
  </si>
  <si>
    <r>
      <t xml:space="preserve">       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>,</t>
    </r>
  </si>
  <si>
    <r>
      <t xml:space="preserve">        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>,</t>
    </r>
  </si>
  <si>
    <r>
      <t xml:space="preserve">       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y</t>
    </r>
    <r>
      <rPr>
        <b/>
        <sz val="11"/>
        <color rgb="FF000000"/>
        <rFont val="Consolas"/>
        <family val="3"/>
      </rPr>
      <t>,</t>
    </r>
  </si>
  <si>
    <r>
      <t xml:space="preserve">            </t>
    </r>
    <r>
      <rPr>
        <b/>
        <sz val="11"/>
        <color rgb="FF033D8B"/>
        <rFont val="Consolas"/>
        <family val="3"/>
      </rPr>
      <t>VSTACK</t>
    </r>
    <r>
      <rPr>
        <b/>
        <sz val="11"/>
        <color rgb="FF000000"/>
        <rFont val="Consolas"/>
        <family val="3"/>
      </rPr>
      <t>(</t>
    </r>
  </si>
  <si>
    <r>
      <t xml:space="preserve">                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>,</t>
    </r>
  </si>
  <si>
    <r>
      <t xml:space="preserve">                    </t>
    </r>
    <r>
      <rPr>
        <b/>
        <sz val="11"/>
        <color rgb="FF0969DA"/>
        <rFont val="Consolas"/>
        <family val="3"/>
      </rPr>
      <t>ca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TEXTAFTER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y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"-"</t>
    </r>
    <r>
      <rPr>
        <b/>
        <sz val="11"/>
        <color rgb="FF000000"/>
        <rFont val="Consolas"/>
        <family val="3"/>
      </rPr>
      <t xml:space="preserve">) - </t>
    </r>
    <r>
      <rPr>
        <b/>
        <sz val="11"/>
        <color rgb="FF033D8B"/>
        <rFont val="Consolas"/>
        <family val="3"/>
      </rPr>
      <t>TEXTBEFORE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y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"-"</t>
    </r>
    <r>
      <rPr>
        <b/>
        <sz val="11"/>
        <color rgb="FF000000"/>
        <rFont val="Consolas"/>
        <family val="3"/>
      </rPr>
      <t xml:space="preserve">) +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, </t>
    </r>
    <r>
      <rPr>
        <b/>
        <sz val="11"/>
        <color rgb="FF033D8B"/>
        <rFont val="Consolas"/>
        <family val="3"/>
      </rPr>
      <t>TEXTBEFORE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y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"-"</t>
    </r>
    <r>
      <rPr>
        <b/>
        <sz val="11"/>
        <color rgb="FF000000"/>
        <rFont val="Consolas"/>
        <family val="3"/>
      </rPr>
      <t>)),</t>
    </r>
  </si>
  <si>
    <r>
      <t xml:space="preserve">                    </t>
    </r>
    <r>
      <rPr>
        <b/>
        <sz val="11"/>
        <color rgb="FF033D8B"/>
        <rFont val="Consolas"/>
        <family val="3"/>
      </rPr>
      <t>FILTER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ISEVEN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ca</t>
    </r>
    <r>
      <rPr>
        <b/>
        <sz val="11"/>
        <color rgb="FF000000"/>
        <rFont val="Consolas"/>
        <family val="3"/>
      </rPr>
      <t>)) * (</t>
    </r>
    <r>
      <rPr>
        <b/>
        <sz val="11"/>
        <color rgb="FF033D8B"/>
        <rFont val="Consolas"/>
        <family val="3"/>
      </rPr>
      <t>SUBSTITUTE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LEFT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ca</t>
    </r>
    <r>
      <rPr>
        <b/>
        <sz val="11"/>
        <color rgb="FF000000"/>
        <rFont val="Consolas"/>
        <family val="3"/>
      </rPr>
      <t xml:space="preserve">) / 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A31515"/>
        <rFont val="Consolas"/>
        <family val="3"/>
      </rPr>
      <t>""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""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>))))),</t>
    </r>
  </si>
  <si>
    <r>
      <t xml:space="preserve">    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</t>
    </r>
    <r>
      <rPr>
        <b/>
        <sz val="11"/>
        <color rgb="FF000000"/>
        <rFont val="Consolas"/>
        <family val="3"/>
      </rPr>
      <t>))</t>
    </r>
  </si>
  <si>
    <r>
      <t xml:space="preserve">                    </t>
    </r>
    <r>
      <rPr>
        <b/>
        <sz val="11"/>
        <color rgb="FF033D8B"/>
        <rFont val="Consolas"/>
        <family val="3"/>
      </rPr>
      <t>FILTER</t>
    </r>
    <r>
      <rPr>
        <b/>
        <sz val="11"/>
        <color rgb="FF000000"/>
        <rFont val="Consolas"/>
        <family val="3"/>
      </rPr>
      <t>(</t>
    </r>
  </si>
  <si>
    <r>
      <t xml:space="preserve">                        </t>
    </r>
    <r>
      <rPr>
        <b/>
        <sz val="11"/>
        <color rgb="FF0969DA"/>
        <rFont val="Consolas"/>
        <family val="3"/>
      </rPr>
      <t>ca</t>
    </r>
    <r>
      <rPr>
        <b/>
        <sz val="11"/>
        <color rgb="FF000000"/>
        <rFont val="Consolas"/>
        <family val="3"/>
      </rPr>
      <t>,</t>
    </r>
  </si>
  <si>
    <r>
      <t>                        (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ca</t>
    </r>
    <r>
      <rPr>
        <b/>
        <sz val="11"/>
        <color rgb="FF000000"/>
        <rFont val="Consolas"/>
        <family val="3"/>
      </rPr>
      <t xml:space="preserve">) &gt;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 * </t>
    </r>
    <r>
      <rPr>
        <b/>
        <sz val="11"/>
        <color rgb="FF033D8B"/>
        <rFont val="Consolas"/>
        <family val="3"/>
      </rPr>
      <t>MAP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m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OR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SUBSTITUTE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m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LEFT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m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 xml:space="preserve">(, </t>
    </r>
    <r>
      <rPr>
        <b/>
        <sz val="11"/>
        <color rgb="FF033D8B"/>
        <rFont val="Consolas"/>
        <family val="3"/>
      </rPr>
      <t>ROUNDUP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m</t>
    </r>
    <r>
      <rPr>
        <b/>
        <sz val="11"/>
        <color rgb="FF000000"/>
        <rFont val="Consolas"/>
        <family val="3"/>
      </rPr>
      <t xml:space="preserve">) / 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 xml:space="preserve">))), </t>
    </r>
    <r>
      <rPr>
        <b/>
        <sz val="11"/>
        <color rgb="FFA31515"/>
        <rFont val="Consolas"/>
        <family val="3"/>
      </rPr>
      <t>""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""</t>
    </r>
    <r>
      <rPr>
        <b/>
        <sz val="11"/>
        <color rgb="FF000000"/>
        <rFont val="Consolas"/>
        <family val="3"/>
      </rPr>
      <t>))),</t>
    </r>
  </si>
  <si>
    <r>
      <t xml:space="preserve">                       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>))))),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</si>
</sst>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D4D4D4"/>
      <name val="Consolas"/>
      <family val="3"/>
    </font>
    <font>
      <sz val="11"/>
      <color rgb="FF9CDCFE"/>
      <name val="Consolas"/>
      <family val="3"/>
    </font>
    <font>
      <sz val="11"/>
      <color rgb="FFDCDCAA"/>
      <name val="Consolas"/>
      <family val="3"/>
    </font>
    <font>
      <sz val="11"/>
      <color rgb="FFCE9178"/>
      <name val="Consolas"/>
      <family val="3"/>
    </font>
    <font>
      <sz val="11"/>
      <color rgb="FFC586C0"/>
      <name val="Consolas"/>
      <family val="3"/>
    </font>
    <font>
      <sz val="11"/>
      <color rgb="FF4EC9B0"/>
      <name val="Consolas"/>
      <family val="3"/>
    </font>
    <font>
      <sz val="11"/>
      <color rgb="FFB5CEA8"/>
      <name val="Consolas"/>
      <family val="3"/>
    </font>
    <font>
      <b/>
      <sz val="11"/>
      <color theme="1"/>
      <name val="Corbel"/>
      <family val="2"/>
    </font>
    <font>
      <b/>
      <sz val="11"/>
      <color rgb="FF000000"/>
      <name val="Consolas"/>
      <family val="3"/>
    </font>
    <font>
      <b/>
      <sz val="11"/>
      <color rgb="FFC4432B"/>
      <name val="Consolas"/>
      <family val="3"/>
    </font>
    <font>
      <b/>
      <sz val="11"/>
      <color rgb="FF0969DA"/>
      <name val="Consolas"/>
      <family val="3"/>
    </font>
    <font>
      <b/>
      <sz val="11"/>
      <color rgb="FF033D8B"/>
      <name val="Consolas"/>
      <family val="3"/>
    </font>
    <font>
      <b/>
      <sz val="11"/>
      <color rgb="FFA31515"/>
      <name val="Consolas"/>
      <family val="3"/>
    </font>
    <font>
      <b/>
      <sz val="11"/>
      <color rgb="FF098658"/>
      <name val="Consolas"/>
      <family val="3"/>
    </font>
    <font>
      <sz val="11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9" fillId="3" borderId="0" xfId="0" applyFont="1" applyFill="1"/>
    <xf numFmtId="0" fontId="1" fillId="0" borderId="0" xfId="0" applyFont="1"/>
    <xf numFmtId="0" fontId="0" fillId="4" borderId="0" xfId="0" applyFill="1"/>
    <xf numFmtId="0" fontId="10" fillId="0" borderId="0" xfId="0" applyFont="1" applyAlignment="1">
      <alignment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63A3E06-EC8D-46BE-8311-0D092D6310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162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48E144-C356-4BED-9C21-AFBE5FCA39E4}">
  <we:reference id="wa200003696" version="1.3.0.0" store="es-E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C3593D24-5B64-4D6F-B496-E99F7CD6388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8D39-A740-455B-8034-6CB2E4B1410C}">
  <dimension ref="A1:O11"/>
  <sheetViews>
    <sheetView tabSelected="1" zoomScale="85" zoomScaleNormal="85" workbookViewId="0">
      <selection activeCell="C3" sqref="C3"/>
    </sheetView>
  </sheetViews>
  <sheetFormatPr baseColWidth="10" defaultRowHeight="15" x14ac:dyDescent="0.25"/>
  <cols>
    <col min="3" max="3" width="14.5703125" bestFit="1" customWidth="1"/>
  </cols>
  <sheetData>
    <row r="1" spans="1:15" x14ac:dyDescent="0.25">
      <c r="A1" t="s">
        <v>0</v>
      </c>
    </row>
    <row r="3" spans="1:15" x14ac:dyDescent="0.25">
      <c r="C3" s="7" t="str" cm="1">
        <f t="array" ref="C3">_xlfn._xlws.PY(0,0,A1)</f>
        <v>Perform data manipulation</v>
      </c>
      <c r="D3" s="7"/>
      <c r="G3" s="1" t="s">
        <v>1</v>
      </c>
      <c r="H3" s="2"/>
      <c r="I3" s="2"/>
      <c r="J3" s="2"/>
      <c r="K3" s="2"/>
      <c r="L3" s="2"/>
      <c r="M3" s="2"/>
      <c r="N3" s="2"/>
      <c r="O3" s="2"/>
    </row>
    <row r="4" spans="1:15" x14ac:dyDescent="0.25">
      <c r="G4" s="1" t="s">
        <v>2</v>
      </c>
      <c r="H4" s="2"/>
      <c r="I4" s="2"/>
      <c r="J4" s="2"/>
      <c r="K4" s="2"/>
      <c r="L4" s="2"/>
      <c r="M4" s="2"/>
      <c r="N4" s="2"/>
      <c r="O4" s="2"/>
    </row>
    <row r="5" spans="1:15" x14ac:dyDescent="0.25">
      <c r="C5" s="6" t="s">
        <v>9</v>
      </c>
      <c r="G5" s="3" t="s">
        <v>3</v>
      </c>
      <c r="H5" s="2"/>
      <c r="I5" s="2"/>
      <c r="J5" s="2"/>
      <c r="K5" s="2"/>
      <c r="L5" s="2"/>
      <c r="M5" s="2"/>
      <c r="N5" s="2"/>
      <c r="O5" s="2"/>
    </row>
    <row r="6" spans="1:15" x14ac:dyDescent="0.25">
      <c r="C6" s="5" cm="1">
        <f t="array" ref="C6">_xlfn._xlws.PY(1,0)</f>
        <v>23534117921</v>
      </c>
      <c r="E6" s="1" t="s">
        <v>11</v>
      </c>
      <c r="G6" s="3" t="s">
        <v>4</v>
      </c>
      <c r="H6" s="2"/>
      <c r="I6" s="2"/>
      <c r="J6" s="2"/>
      <c r="K6" s="2"/>
      <c r="L6" s="2"/>
      <c r="M6" s="2"/>
      <c r="N6" s="2"/>
      <c r="O6" s="2"/>
    </row>
    <row r="7" spans="1:15" x14ac:dyDescent="0.25">
      <c r="G7" s="1" t="s">
        <v>5</v>
      </c>
      <c r="H7" s="2"/>
      <c r="I7" s="2"/>
      <c r="J7" s="2"/>
      <c r="K7" s="2"/>
      <c r="L7" s="2"/>
      <c r="M7" s="2"/>
      <c r="N7" s="2"/>
      <c r="O7" s="2"/>
    </row>
    <row r="8" spans="1:15" x14ac:dyDescent="0.25">
      <c r="G8" s="3" t="s">
        <v>6</v>
      </c>
      <c r="H8" s="2"/>
      <c r="I8" s="2"/>
      <c r="J8" s="2"/>
      <c r="K8" s="2"/>
      <c r="L8" s="2"/>
      <c r="M8" s="2"/>
      <c r="N8" s="2"/>
      <c r="O8" s="2"/>
    </row>
    <row r="9" spans="1:15" x14ac:dyDescent="0.25">
      <c r="C9" s="6" t="s">
        <v>10</v>
      </c>
      <c r="G9" s="3" t="s">
        <v>7</v>
      </c>
      <c r="H9" s="2"/>
      <c r="I9" s="2"/>
      <c r="J9" s="2"/>
      <c r="K9" s="2"/>
      <c r="L9" s="2"/>
      <c r="M9" s="2"/>
      <c r="N9" s="2"/>
      <c r="O9" s="2"/>
    </row>
    <row r="10" spans="1:15" x14ac:dyDescent="0.25">
      <c r="C10" s="5" cm="1">
        <f t="array" ref="C10">_xlfn._xlws.PY(2,0)</f>
        <v>31755323497</v>
      </c>
      <c r="E10" s="1" t="s">
        <v>12</v>
      </c>
      <c r="G10" s="4" t="s">
        <v>8</v>
      </c>
      <c r="H10" s="2"/>
      <c r="I10" s="2"/>
      <c r="J10" s="2"/>
      <c r="K10" s="2"/>
      <c r="L10" s="2"/>
      <c r="M10" s="2"/>
      <c r="N10" s="2"/>
      <c r="O10" s="2"/>
    </row>
    <row r="11" spans="1:15" x14ac:dyDescent="0.25">
      <c r="G11" s="2"/>
      <c r="H11" s="2"/>
      <c r="I11" s="2"/>
      <c r="J11" s="2"/>
      <c r="K11" s="2"/>
      <c r="L11" s="2"/>
      <c r="M11" s="2"/>
      <c r="N11" s="2"/>
      <c r="O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0981-076F-4B58-81C5-7EE93B393E4A}">
  <dimension ref="A1:I43"/>
  <sheetViews>
    <sheetView zoomScale="85" zoomScaleNormal="85" workbookViewId="0">
      <selection activeCell="G26" sqref="G26"/>
    </sheetView>
  </sheetViews>
  <sheetFormatPr baseColWidth="10" defaultRowHeight="15" x14ac:dyDescent="0.25"/>
  <cols>
    <col min="3" max="3" width="14.5703125" bestFit="1" customWidth="1"/>
    <col min="7" max="7" width="12.28515625" bestFit="1" customWidth="1"/>
  </cols>
  <sheetData>
    <row r="1" spans="1:9" x14ac:dyDescent="0.25">
      <c r="A1" t="s">
        <v>0</v>
      </c>
    </row>
    <row r="4" spans="1:9" x14ac:dyDescent="0.25">
      <c r="I4" s="8" t="s">
        <v>13</v>
      </c>
    </row>
    <row r="5" spans="1:9" x14ac:dyDescent="0.25">
      <c r="I5" s="8" t="s">
        <v>14</v>
      </c>
    </row>
    <row r="6" spans="1:9" x14ac:dyDescent="0.25">
      <c r="C6" cm="1">
        <f t="array" ref="C6:D35">--_xlfn.TEXTSPLIT(A1,"-",",")</f>
        <v>4487</v>
      </c>
      <c r="D6">
        <v>9581</v>
      </c>
      <c r="G6" cm="1">
        <f t="array" ref="G6">_xlfn.LET(_xlpm._a, A1, _xlpm._b, --_xlfn.TEXTSPLIT(_xlpm._a, "-", ","), SUM(_xlfn.MAP(_xlfn.CHOOSECOLS(_xlpm._b, 2), _xlfn.CHOOSECOLS(_xlpm._b, 1), _xlfn.LAMBDA(_xlpm.v,_xlpm.w, _xlfn.LET(_xlpm._d, "" &amp; _xlfn.SEQUENCE(_xlpm.v - _xlpm.w + 1, , _xlpm.w), _xlpm._e, _xlfn._xlws.FILTER(_xlpm._d, REPT(LEFT(_xlpm._d, ROUNDUP(LEN(_xlpm._d) / 2, 0)), 2) = _xlpm._d, 0), SUM(--_xlpm._e))))))</f>
        <v>23534117921</v>
      </c>
      <c r="I6" s="8" t="s">
        <v>15</v>
      </c>
    </row>
    <row r="7" spans="1:9" x14ac:dyDescent="0.25">
      <c r="C7">
        <v>755745207</v>
      </c>
      <c r="D7">
        <v>755766099</v>
      </c>
      <c r="I7" s="8" t="s">
        <v>16</v>
      </c>
    </row>
    <row r="8" spans="1:9" x14ac:dyDescent="0.25">
      <c r="C8">
        <v>954895848</v>
      </c>
      <c r="D8">
        <v>955063124</v>
      </c>
      <c r="I8" s="8" t="s">
        <v>17</v>
      </c>
    </row>
    <row r="9" spans="1:9" x14ac:dyDescent="0.25">
      <c r="C9">
        <v>4358832</v>
      </c>
      <c r="D9">
        <v>4497315</v>
      </c>
      <c r="I9" s="8" t="s">
        <v>18</v>
      </c>
    </row>
    <row r="10" spans="1:9" x14ac:dyDescent="0.25">
      <c r="C10">
        <v>15</v>
      </c>
      <c r="D10">
        <v>47</v>
      </c>
      <c r="I10" s="8" t="s">
        <v>19</v>
      </c>
    </row>
    <row r="11" spans="1:9" x14ac:dyDescent="0.25">
      <c r="C11">
        <v>1</v>
      </c>
      <c r="D11">
        <v>12</v>
      </c>
      <c r="I11" s="8" t="s">
        <v>20</v>
      </c>
    </row>
    <row r="12" spans="1:9" x14ac:dyDescent="0.25">
      <c r="C12">
        <v>9198808</v>
      </c>
      <c r="D12">
        <v>9258771</v>
      </c>
      <c r="I12" s="8" t="s">
        <v>21</v>
      </c>
    </row>
    <row r="13" spans="1:9" x14ac:dyDescent="0.25">
      <c r="C13">
        <v>657981</v>
      </c>
      <c r="D13">
        <v>762275</v>
      </c>
      <c r="I13" s="8" t="s">
        <v>22</v>
      </c>
    </row>
    <row r="14" spans="1:9" x14ac:dyDescent="0.25">
      <c r="C14">
        <v>6256098346</v>
      </c>
      <c r="D14">
        <v>6256303872</v>
      </c>
      <c r="I14" s="8" t="s">
        <v>23</v>
      </c>
    </row>
    <row r="15" spans="1:9" x14ac:dyDescent="0.25">
      <c r="C15">
        <v>142</v>
      </c>
      <c r="D15">
        <v>282</v>
      </c>
      <c r="I15" s="8" t="s">
        <v>24</v>
      </c>
    </row>
    <row r="16" spans="1:9" x14ac:dyDescent="0.25">
      <c r="C16">
        <v>13092529</v>
      </c>
      <c r="D16">
        <v>13179528</v>
      </c>
      <c r="I16" s="8"/>
    </row>
    <row r="17" spans="3:9" x14ac:dyDescent="0.25">
      <c r="C17">
        <v>96201296</v>
      </c>
      <c r="D17">
        <v>96341879</v>
      </c>
      <c r="I17" s="8"/>
    </row>
    <row r="18" spans="3:9" x14ac:dyDescent="0.25">
      <c r="C18">
        <v>19767340</v>
      </c>
      <c r="D18">
        <v>19916378</v>
      </c>
      <c r="I18" s="8"/>
    </row>
    <row r="19" spans="3:9" x14ac:dyDescent="0.25">
      <c r="C19">
        <v>2809036</v>
      </c>
      <c r="D19">
        <v>2830862</v>
      </c>
      <c r="I19" s="8"/>
    </row>
    <row r="20" spans="3:9" x14ac:dyDescent="0.25">
      <c r="C20">
        <v>335850</v>
      </c>
      <c r="D20">
        <v>499986</v>
      </c>
      <c r="I20" s="8"/>
    </row>
    <row r="21" spans="3:9" x14ac:dyDescent="0.25">
      <c r="C21">
        <v>172437</v>
      </c>
      <c r="D21">
        <v>315144</v>
      </c>
      <c r="G21" cm="1">
        <f t="array" ref="G21">_xlfn.LET(_xlpm._a, A1, _xlpm._b, --_xlfn.TEXTSPLIT(_xlpm._a, "-", ","), SUM(_xlfn.MAP(_xlfn.CHOOSECOLS(_xlpm._b, 2), _xlfn.CHOOSECOLS(_xlpm._b, 1), _xlfn.LAMBDA(_xlpm.v,_xlpm.w, _xlfn.LET(_xlpm._d, "" &amp; _xlfn.SEQUENCE(_xlpm.v - _xlpm.w + 1, , _xlpm.w), _xlpm._e, _xlfn.SEQUENCE(, MAX(LEN(_xlpm._d)) - 1, 2), SUM(--_xlfn._xlws.FILTER(_xlpm._d, _xlfn.BYROW(--(REPT(LEFT(_xlpm._d, ROUNDUP(LEN(_xlpm._d) / _xlpm._e, 0)), _xlpm._e) = _xlpm._d), _xleta.SUM), 0)))))))</f>
        <v>31755323497</v>
      </c>
      <c r="I21" s="8" t="s">
        <v>13</v>
      </c>
    </row>
    <row r="22" spans="3:9" x14ac:dyDescent="0.25">
      <c r="C22">
        <v>764434</v>
      </c>
      <c r="D22">
        <v>793133</v>
      </c>
      <c r="I22" s="8" t="s">
        <v>14</v>
      </c>
    </row>
    <row r="23" spans="3:9" x14ac:dyDescent="0.25">
      <c r="C23">
        <v>910543</v>
      </c>
      <c r="D23">
        <v>1082670</v>
      </c>
      <c r="I23" s="8" t="s">
        <v>15</v>
      </c>
    </row>
    <row r="24" spans="3:9" x14ac:dyDescent="0.25">
      <c r="C24">
        <v>2142179</v>
      </c>
      <c r="D24">
        <v>2279203</v>
      </c>
      <c r="I24" s="8" t="s">
        <v>16</v>
      </c>
    </row>
    <row r="25" spans="3:9" x14ac:dyDescent="0.25">
      <c r="C25">
        <v>6649545</v>
      </c>
      <c r="D25">
        <v>6713098</v>
      </c>
      <c r="I25" s="8" t="s">
        <v>17</v>
      </c>
    </row>
    <row r="26" spans="3:9" x14ac:dyDescent="0.25">
      <c r="C26">
        <v>6464587849</v>
      </c>
      <c r="D26">
        <v>6464677024</v>
      </c>
      <c r="I26" s="8" t="s">
        <v>18</v>
      </c>
    </row>
    <row r="27" spans="3:9" x14ac:dyDescent="0.25">
      <c r="C27">
        <v>858399</v>
      </c>
      <c r="D27">
        <v>904491</v>
      </c>
      <c r="I27" s="8" t="s">
        <v>19</v>
      </c>
    </row>
    <row r="28" spans="3:9" x14ac:dyDescent="0.25">
      <c r="C28">
        <v>1328</v>
      </c>
      <c r="D28">
        <v>4021</v>
      </c>
      <c r="I28" s="8" t="s">
        <v>20</v>
      </c>
    </row>
    <row r="29" spans="3:9" x14ac:dyDescent="0.25">
      <c r="C29">
        <v>72798</v>
      </c>
      <c r="D29">
        <v>159206</v>
      </c>
      <c r="I29" s="8" t="s">
        <v>21</v>
      </c>
    </row>
    <row r="30" spans="3:9" x14ac:dyDescent="0.25">
      <c r="C30">
        <v>89777719</v>
      </c>
      <c r="D30">
        <v>90005812</v>
      </c>
      <c r="I30" s="8" t="s">
        <v>22</v>
      </c>
    </row>
    <row r="31" spans="3:9" x14ac:dyDescent="0.25">
      <c r="C31">
        <v>91891792</v>
      </c>
      <c r="D31">
        <v>91938279</v>
      </c>
      <c r="I31" s="8" t="s">
        <v>25</v>
      </c>
    </row>
    <row r="32" spans="3:9" x14ac:dyDescent="0.25">
      <c r="C32">
        <v>314</v>
      </c>
      <c r="D32">
        <v>963</v>
      </c>
      <c r="I32" s="8" t="s">
        <v>26</v>
      </c>
    </row>
    <row r="33" spans="3:9" x14ac:dyDescent="0.25">
      <c r="C33">
        <v>48</v>
      </c>
      <c r="D33">
        <v>130</v>
      </c>
      <c r="I33" s="8" t="s">
        <v>27</v>
      </c>
    </row>
    <row r="34" spans="3:9" x14ac:dyDescent="0.25">
      <c r="C34">
        <v>527903</v>
      </c>
      <c r="D34">
        <v>594370</v>
      </c>
      <c r="I34" s="8" t="s">
        <v>28</v>
      </c>
    </row>
    <row r="35" spans="3:9" x14ac:dyDescent="0.25">
      <c r="C35">
        <v>24240</v>
      </c>
      <c r="D35">
        <v>60212</v>
      </c>
      <c r="I35" s="8" t="s">
        <v>29</v>
      </c>
    </row>
    <row r="36" spans="3:9" x14ac:dyDescent="0.25">
      <c r="I36" s="8" t="s">
        <v>30</v>
      </c>
    </row>
    <row r="37" spans="3:9" x14ac:dyDescent="0.25">
      <c r="I37" s="9"/>
    </row>
    <row r="38" spans="3:9" x14ac:dyDescent="0.25">
      <c r="I38" s="9"/>
    </row>
    <row r="39" spans="3:9" x14ac:dyDescent="0.25">
      <c r="I39" s="9"/>
    </row>
    <row r="40" spans="3:9" x14ac:dyDescent="0.25">
      <c r="I40" s="9"/>
    </row>
    <row r="41" spans="3:9" x14ac:dyDescent="0.25">
      <c r="I41" s="9"/>
    </row>
    <row r="42" spans="3:9" x14ac:dyDescent="0.25">
      <c r="I42" s="9"/>
    </row>
    <row r="43" spans="3:9" x14ac:dyDescent="0.25">
      <c r="I4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7FAE-5077-45BB-BDF5-AE304F6F477D}">
  <dimension ref="A1:E24"/>
  <sheetViews>
    <sheetView zoomScale="85" zoomScaleNormal="85" workbookViewId="0">
      <selection activeCell="E18" sqref="E18"/>
    </sheetView>
  </sheetViews>
  <sheetFormatPr baseColWidth="10" defaultRowHeight="15" x14ac:dyDescent="0.25"/>
  <cols>
    <col min="3" max="3" width="14.5703125" bestFit="1" customWidth="1"/>
  </cols>
  <sheetData>
    <row r="1" spans="1:5" x14ac:dyDescent="0.25">
      <c r="A1" t="s">
        <v>0</v>
      </c>
    </row>
    <row r="5" spans="1:5" x14ac:dyDescent="0.25">
      <c r="E5" s="8" t="s">
        <v>13</v>
      </c>
    </row>
    <row r="6" spans="1:5" x14ac:dyDescent="0.25">
      <c r="C6" cm="1">
        <f t="array" ref="C6:C7">_xlfn.LET(_xlpm.r, _xlfn.TEXTSPLIT(A1, "-", ","), _xlfn.MAP({"$";"+$"}, _xlfn.LAMBDA(_xlpm.z, SUM(_xlfn.MAP(_xlfn.TAKE(_xlpm.r, , 1), _xlfn.TAKE(_xlpm.r, , -1), _xlfn.LAMBDA(_xlpm.a,_xlpm.b, _xlfn.LET(_xlpm.c, _xlfn.SEQUENCE(_xlpm.b - _xlpm.a + 1, , _xlpm.a), SUMPRODUCT(_xlpm.c, --_xlfn.REGEXTEST(_xlpm.c, "^(.+)\1" &amp; _xlpm.z)))))))))</f>
        <v>23534117921</v>
      </c>
      <c r="E6" s="8" t="s">
        <v>31</v>
      </c>
    </row>
    <row r="7" spans="1:5" x14ac:dyDescent="0.25">
      <c r="C7">
        <v>31755323497</v>
      </c>
      <c r="E7" s="8" t="s">
        <v>32</v>
      </c>
    </row>
    <row r="8" spans="1:5" x14ac:dyDescent="0.25">
      <c r="E8" s="8" t="s">
        <v>33</v>
      </c>
    </row>
    <row r="9" spans="1:5" x14ac:dyDescent="0.25">
      <c r="E9" s="8" t="s">
        <v>34</v>
      </c>
    </row>
    <row r="10" spans="1:5" x14ac:dyDescent="0.25">
      <c r="E10" s="8" t="s">
        <v>35</v>
      </c>
    </row>
    <row r="11" spans="1:5" x14ac:dyDescent="0.25">
      <c r="E11" s="8" t="s">
        <v>36</v>
      </c>
    </row>
    <row r="12" spans="1:5" x14ac:dyDescent="0.25">
      <c r="E12" s="8" t="s">
        <v>37</v>
      </c>
    </row>
    <row r="13" spans="1:5" x14ac:dyDescent="0.25">
      <c r="E13" s="8" t="s">
        <v>38</v>
      </c>
    </row>
    <row r="14" spans="1:5" x14ac:dyDescent="0.25">
      <c r="E14" s="8" t="s">
        <v>39</v>
      </c>
    </row>
    <row r="15" spans="1:5" x14ac:dyDescent="0.25">
      <c r="E15" s="8" t="s">
        <v>40</v>
      </c>
    </row>
    <row r="16" spans="1:5" x14ac:dyDescent="0.25">
      <c r="E16" s="8" t="s">
        <v>41</v>
      </c>
    </row>
    <row r="17" spans="5:5" x14ac:dyDescent="0.25">
      <c r="E17" s="8" t="s">
        <v>42</v>
      </c>
    </row>
    <row r="18" spans="5:5" x14ac:dyDescent="0.25">
      <c r="E18" s="9"/>
    </row>
    <row r="19" spans="5:5" x14ac:dyDescent="0.25">
      <c r="E19" s="9"/>
    </row>
    <row r="20" spans="5:5" x14ac:dyDescent="0.25">
      <c r="E20" s="9"/>
    </row>
    <row r="21" spans="5:5" x14ac:dyDescent="0.25">
      <c r="E21" s="9"/>
    </row>
    <row r="22" spans="5:5" x14ac:dyDescent="0.25">
      <c r="E22" s="9"/>
    </row>
    <row r="23" spans="5:5" x14ac:dyDescent="0.25">
      <c r="E23" s="9"/>
    </row>
    <row r="24" spans="5:5" x14ac:dyDescent="0.25">
      <c r="E24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D560-5EBF-46E9-A1C4-83188D998E0C}">
  <dimension ref="A1:E36"/>
  <sheetViews>
    <sheetView zoomScale="85" zoomScaleNormal="85" workbookViewId="0">
      <selection activeCell="C21" sqref="C21"/>
    </sheetView>
  </sheetViews>
  <sheetFormatPr baseColWidth="10" defaultRowHeight="15" x14ac:dyDescent="0.25"/>
  <cols>
    <col min="3" max="3" width="14.5703125" bestFit="1" customWidth="1"/>
  </cols>
  <sheetData>
    <row r="1" spans="1:5" x14ac:dyDescent="0.25">
      <c r="A1" t="s">
        <v>0</v>
      </c>
    </row>
    <row r="4" spans="1:5" x14ac:dyDescent="0.25">
      <c r="E4" s="8" t="s">
        <v>13</v>
      </c>
    </row>
    <row r="5" spans="1:5" x14ac:dyDescent="0.25">
      <c r="E5" s="8" t="s">
        <v>43</v>
      </c>
    </row>
    <row r="6" spans="1:5" x14ac:dyDescent="0.25">
      <c r="C6" cm="1">
        <f t="array" ref="C6">_xlfn.LET(_xlpm.a, A1, _xlpm.b, _xlfn.TEXTSPLIT(_xlpm.a, ","), _xlpm.c, _xlfn.REDUCE(0, _xlpm.b, _xlfn.LAMBDA(_xlpm.x,_xlpm.y, _xlfn.VSTACK(_xlpm.x, _xlfn.LET(_xlpm.ca, _xlfn.SEQUENCE(_xlfn.TEXTAFTER(_xlpm.y, "-") - _xlfn.TEXTBEFORE(_xlpm.y, "-") + 1, , _xlfn.TEXTBEFORE(_xlpm.y, "-")), _xlfn._xlws.FILTER(_xlpm.ca, ISEVEN(LEN(_xlpm.ca)) * (SUBSTITUTE(_xlpm.ca, LEFT(_xlpm.ca, LEN(_xlpm.ca) / 2), "") = ""), 0))))), SUM(_xlpm.c))</f>
        <v>23534117921</v>
      </c>
      <c r="E6" s="8" t="s">
        <v>44</v>
      </c>
    </row>
    <row r="7" spans="1:5" x14ac:dyDescent="0.25">
      <c r="E7" s="8" t="s">
        <v>45</v>
      </c>
    </row>
    <row r="8" spans="1:5" x14ac:dyDescent="0.25">
      <c r="E8" s="8" t="s">
        <v>46</v>
      </c>
    </row>
    <row r="9" spans="1:5" x14ac:dyDescent="0.25">
      <c r="E9" s="8" t="s">
        <v>47</v>
      </c>
    </row>
    <row r="10" spans="1:5" x14ac:dyDescent="0.25">
      <c r="E10" s="8" t="s">
        <v>48</v>
      </c>
    </row>
    <row r="11" spans="1:5" x14ac:dyDescent="0.25">
      <c r="E11" s="8" t="s">
        <v>49</v>
      </c>
    </row>
    <row r="12" spans="1:5" x14ac:dyDescent="0.25">
      <c r="E12" s="8" t="s">
        <v>50</v>
      </c>
    </row>
    <row r="13" spans="1:5" x14ac:dyDescent="0.25">
      <c r="E13" s="8" t="s">
        <v>21</v>
      </c>
    </row>
    <row r="14" spans="1:5" x14ac:dyDescent="0.25">
      <c r="E14" s="8" t="s">
        <v>51</v>
      </c>
    </row>
    <row r="15" spans="1:5" x14ac:dyDescent="0.25">
      <c r="E15" s="8" t="s">
        <v>52</v>
      </c>
    </row>
    <row r="16" spans="1:5" x14ac:dyDescent="0.25">
      <c r="E16" s="8" t="s">
        <v>53</v>
      </c>
    </row>
    <row r="21" spans="3:5" x14ac:dyDescent="0.25">
      <c r="C21" cm="1">
        <f t="array" ref="C21">_xlfn.LET(_xlpm.a, A1, _xlpm.b, _xlfn.TEXTSPLIT(_xlpm.a, ","), _xlpm.c, _xlfn.REDUCE(0, _xlpm.b, _xlfn.LAMBDA(_xlpm.x,_xlpm.y, _xlfn.VSTACK(_xlpm.x, _xlfn.LET(_xlpm.ca, _xlfn.SEQUENCE(_xlfn.TEXTAFTER(_xlpm.y, "-") - _xlfn.TEXTBEFORE(_xlpm.y, "-") + 1, , _xlfn.TEXTBEFORE(_xlpm.y, "-")), _xlfn._xlws.FILTER(_xlpm.ca, (LEN(_xlpm.ca) &gt; 1) * _xlfn.MAP(_xlpm.ca, _xlfn.LAMBDA(_xlpm.m, OR(SUBSTITUTE(_xlpm.m, LEFT(_xlpm.m, _xlfn.SEQUENCE(, ROUNDUP(LEN(_xlpm.m) / 2, 0))), "") = ""))), 0))))), SUM(_xlpm.c))</f>
        <v>31755323497</v>
      </c>
      <c r="E21" s="8" t="s">
        <v>13</v>
      </c>
    </row>
    <row r="22" spans="3:5" x14ac:dyDescent="0.25">
      <c r="E22" s="8" t="s">
        <v>43</v>
      </c>
    </row>
    <row r="23" spans="3:5" x14ac:dyDescent="0.25">
      <c r="E23" s="8" t="s">
        <v>44</v>
      </c>
    </row>
    <row r="24" spans="3:5" x14ac:dyDescent="0.25">
      <c r="E24" s="8" t="s">
        <v>45</v>
      </c>
    </row>
    <row r="25" spans="3:5" x14ac:dyDescent="0.25">
      <c r="E25" s="8" t="s">
        <v>46</v>
      </c>
    </row>
    <row r="26" spans="3:5" x14ac:dyDescent="0.25">
      <c r="E26" s="8" t="s">
        <v>47</v>
      </c>
    </row>
    <row r="27" spans="3:5" x14ac:dyDescent="0.25">
      <c r="E27" s="8" t="s">
        <v>48</v>
      </c>
    </row>
    <row r="28" spans="3:5" x14ac:dyDescent="0.25">
      <c r="E28" s="8" t="s">
        <v>49</v>
      </c>
    </row>
    <row r="29" spans="3:5" x14ac:dyDescent="0.25">
      <c r="E29" s="8" t="s">
        <v>50</v>
      </c>
    </row>
    <row r="30" spans="3:5" x14ac:dyDescent="0.25">
      <c r="E30" s="8" t="s">
        <v>21</v>
      </c>
    </row>
    <row r="31" spans="3:5" x14ac:dyDescent="0.25">
      <c r="E31" s="8" t="s">
        <v>51</v>
      </c>
    </row>
    <row r="32" spans="3:5" x14ac:dyDescent="0.25">
      <c r="E32" s="8" t="s">
        <v>54</v>
      </c>
    </row>
    <row r="33" spans="5:5" x14ac:dyDescent="0.25">
      <c r="E33" s="8" t="s">
        <v>55</v>
      </c>
    </row>
    <row r="34" spans="5:5" x14ac:dyDescent="0.25">
      <c r="E34" s="8" t="s">
        <v>56</v>
      </c>
    </row>
    <row r="35" spans="5:5" x14ac:dyDescent="0.25">
      <c r="E35" s="8" t="s">
        <v>57</v>
      </c>
    </row>
    <row r="36" spans="5:5" x14ac:dyDescent="0.25">
      <c r="E36" s="8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FB40-86BC-4436-89B1-4078B0349100}">
  <dimension ref="A1"/>
  <sheetViews>
    <sheetView zoomScale="85" zoomScaleNormal="85" workbookViewId="0">
      <selection activeCell="D19" sqref="D19"/>
    </sheetView>
  </sheetViews>
  <sheetFormatPr baseColWidth="10" defaultRowHeight="15" x14ac:dyDescent="0.25"/>
  <cols>
    <col min="3" max="3" width="14.570312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MAdABhAHQAZQBtAGUAbgB0AFMAZQBwAGEAcgBhAHQAbwByACIAOgAiADsAIgAsACIAcgBvAHcAUwBlAHAAYQByAGEAdABvAHIAIgA6ACIAOwAiACwAIgBjAG8AbAB1AG0AbgBTAGUAcABhAHIAYQB0AG8AcgAiADoAIgAsACIALAAiAHQAaABvAHUAcwBhAG4AZABzAFMAZQBwAGEAcgBhAHQAbwByACIAOgAiACwAIgAsACIAZABlAGMAaQBtAGEAbABTAGUAcABhAHIAYQB0AG8AcgAiADoAIgAuACIALAAiAGQAYQB0AGUATwByAGQAZQByACIAOgAiAE0ARABZACIALAAiAGMAdQByAHIAZQBuAGMAeQBTAHkAbQBiAG8AbAAiADoAIgCsICIALAAiAGkAcwBDAHUAcgByAGUAbgBjAHkAUwB5AG0AYgBvAGwATABlAGEAZAAiADoAZgBhAGwAcwBlACwAIgBpAHMAQwB1AHIAcgBlAG4AYwB5AFMAZQBwAEIAeQBTAHAAYQBjAGUAIgA6AHQAcgB1AGUALAAiAHIAbwB3AEwAZQB0AHQAZQByACIAOgAiAFIAIgAsACIAYwBvAGwAdQBtAG4ATABlAHQAdABlAHIAIgA6ACIAQwAiACwAIgByAGMATABlAGYAdABCAHIAYQBjAGsAZQB0ACIAOgAiAFsAIgAsACIAcgBjAFIAaQBnAGgAdABCAHIAYQBjAGsAZQB0ACIAOgAiAF0AIgAsACIAbABvAGMAYQBsAGUATgBhAG0AZQAiADoAIgBlAG4ALQB1AHMAIgAsACIAdABoAG8AdQBzAGEAbgBkAHMAUABvAHMAaQB0AGkAbwBuAHMAIgA6AFsAMwBdAH0AfQA=</AFEJSONBlob>
</file>

<file path=customXml/itemProps1.xml><?xml version="1.0" encoding="utf-8"?>
<ds:datastoreItem xmlns:ds="http://schemas.openxmlformats.org/officeDocument/2006/customXml" ds:itemID="{C3593D24-5B64-4D6F-B496-E99F7CD6388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Hoja1 (2)</vt:lpstr>
      <vt:lpstr>Hoja1 (3)</vt:lpstr>
      <vt:lpstr>Hoja1 (4)</vt:lpstr>
      <vt:lpstr>Hoja1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Campos</dc:creator>
  <cp:lastModifiedBy>Alejandro Campos</cp:lastModifiedBy>
  <dcterms:created xsi:type="dcterms:W3CDTF">2025-12-02T20:57:48Z</dcterms:created>
  <dcterms:modified xsi:type="dcterms:W3CDTF">2025-12-03T17:55:56Z</dcterms:modified>
</cp:coreProperties>
</file>