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09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rcelormittal-my.sharepoint.com/personal/alejandro_campos_arcelormittal_com/Documents/"/>
    </mc:Choice>
  </mc:AlternateContent>
  <xr:revisionPtr revIDLastSave="8" documentId="8_{7C5BE4D1-5BDB-48EA-8324-04E4C9D0A07B}" xr6:coauthVersionLast="47" xr6:coauthVersionMax="47" xr10:uidLastSave="{10A65DB9-393F-4808-A6E3-8C0753DB4DCF}"/>
  <bookViews>
    <workbookView xWindow="1815" yWindow="1815" windowWidth="28770" windowHeight="17250" activeTab="1" xr2:uid="{3ABE3011-7DD5-2F47-BB74-68E57184C8BF}"/>
  </bookViews>
  <sheets>
    <sheet name="Input" sheetId="5" r:id="rId1"/>
    <sheet name="Part 1" sheetId="2" r:id="rId2"/>
    <sheet name="Part 2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4" i="2" l="1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AO12" i="2"/>
  <c r="AP12" i="2"/>
  <c r="AQ12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AO13" i="2"/>
  <c r="AP13" i="2"/>
  <c r="AQ13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AO14" i="2"/>
  <c r="AP14" i="2"/>
  <c r="AQ14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AO15" i="2"/>
  <c r="AP15" i="2"/>
  <c r="AQ15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AO16" i="2"/>
  <c r="AP16" i="2"/>
  <c r="AQ16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AO17" i="2"/>
  <c r="AP17" i="2"/>
  <c r="AQ17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AO18" i="2"/>
  <c r="AP18" i="2"/>
  <c r="AQ18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AO19" i="2"/>
  <c r="AP19" i="2"/>
  <c r="AQ19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AO20" i="2"/>
  <c r="AP20" i="2"/>
  <c r="AQ20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AO21" i="2"/>
  <c r="AP21" i="2"/>
  <c r="AQ21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AM22" i="2"/>
  <c r="AN22" i="2"/>
  <c r="AO22" i="2"/>
  <c r="AP22" i="2"/>
  <c r="AQ22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AM23" i="2"/>
  <c r="AN23" i="2"/>
  <c r="AO23" i="2"/>
  <c r="AP23" i="2"/>
  <c r="AQ23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AO24" i="2"/>
  <c r="AP24" i="2"/>
  <c r="AQ24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AN25" i="2"/>
  <c r="AO25" i="2"/>
  <c r="AP25" i="2"/>
  <c r="AQ25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AK26" i="2"/>
  <c r="AL26" i="2"/>
  <c r="AM26" i="2"/>
  <c r="AN26" i="2"/>
  <c r="AO26" i="2"/>
  <c r="AP26" i="2"/>
  <c r="AQ26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AK27" i="2"/>
  <c r="AL27" i="2"/>
  <c r="AM27" i="2"/>
  <c r="AN27" i="2"/>
  <c r="AO27" i="2"/>
  <c r="AP27" i="2"/>
  <c r="AQ27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AK28" i="2"/>
  <c r="AL28" i="2"/>
  <c r="AM28" i="2"/>
  <c r="AN28" i="2"/>
  <c r="AO28" i="2"/>
  <c r="AP28" i="2"/>
  <c r="AQ28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AH29" i="2"/>
  <c r="AI29" i="2"/>
  <c r="AJ29" i="2"/>
  <c r="AK29" i="2"/>
  <c r="AL29" i="2"/>
  <c r="AM29" i="2"/>
  <c r="AN29" i="2"/>
  <c r="AO29" i="2"/>
  <c r="AP29" i="2"/>
  <c r="AQ29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AK30" i="2"/>
  <c r="AL30" i="2"/>
  <c r="AM30" i="2"/>
  <c r="AN30" i="2"/>
  <c r="AO30" i="2"/>
  <c r="AP30" i="2"/>
  <c r="AQ30" i="2"/>
  <c r="C1" i="5" a="1"/>
  <c r="C1" i="5" s="1"/>
  <c r="C27" i="5" a="1"/>
  <c r="C27" i="5" s="1"/>
  <c r="C26" i="5" a="1"/>
  <c r="C26" i="5" s="1"/>
  <c r="C25" i="5" a="1"/>
  <c r="C25" i="5" s="1"/>
  <c r="C24" i="5" a="1"/>
  <c r="C24" i="5" s="1"/>
  <c r="C23" i="5" a="1"/>
  <c r="C23" i="5" s="1"/>
  <c r="C22" i="5" a="1"/>
  <c r="C22" i="5" s="1"/>
  <c r="C21" i="5" a="1"/>
  <c r="C21" i="5" s="1"/>
  <c r="C20" i="5" a="1"/>
  <c r="C20" i="5" s="1"/>
  <c r="C19" i="5" a="1"/>
  <c r="C19" i="5" s="1"/>
  <c r="C18" i="5" a="1"/>
  <c r="C18" i="5" s="1"/>
  <c r="C17" i="5" a="1"/>
  <c r="C17" i="5" s="1"/>
  <c r="C16" i="5" a="1"/>
  <c r="C16" i="5" s="1"/>
  <c r="C15" i="5" a="1"/>
  <c r="C15" i="5" s="1"/>
  <c r="C14" i="5" a="1"/>
  <c r="C14" i="5" s="1"/>
  <c r="C13" i="5" a="1"/>
  <c r="C13" i="5" s="1"/>
  <c r="C12" i="5" a="1"/>
  <c r="C12" i="5" s="1"/>
  <c r="C11" i="5" a="1"/>
  <c r="C11" i="5" s="1"/>
  <c r="C10" i="5" a="1"/>
  <c r="C10" i="5" s="1"/>
  <c r="C9" i="5" a="1"/>
  <c r="C9" i="5" s="1"/>
  <c r="C8" i="5" a="1"/>
  <c r="C8" i="5" s="1"/>
  <c r="C7" i="5" a="1"/>
  <c r="C7" i="5" s="1"/>
  <c r="C6" i="5" a="1"/>
  <c r="C6" i="5" s="1"/>
  <c r="C5" i="5" a="1"/>
  <c r="C5" i="5" s="1"/>
  <c r="C4" i="5" a="1"/>
  <c r="C4" i="5" s="1"/>
  <c r="C3" i="5" a="1"/>
  <c r="C3" i="5" s="1"/>
  <c r="C2" i="5" a="1"/>
  <c r="C2" i="5" s="1"/>
  <c r="B5" i="4"/>
  <c r="C5" i="4"/>
  <c r="D5" i="4"/>
  <c r="E5" i="4"/>
  <c r="F5" i="4"/>
  <c r="G5" i="4"/>
  <c r="H5" i="4"/>
  <c r="I5" i="4"/>
  <c r="B6" i="4"/>
  <c r="C6" i="4"/>
  <c r="D6" i="4"/>
  <c r="E6" i="4"/>
  <c r="F6" i="4"/>
  <c r="G6" i="4"/>
  <c r="H6" i="4"/>
  <c r="I6" i="4"/>
  <c r="B7" i="4"/>
  <c r="C7" i="4"/>
  <c r="D7" i="4"/>
  <c r="E7" i="4"/>
  <c r="F7" i="4"/>
  <c r="G7" i="4"/>
  <c r="H7" i="4"/>
  <c r="I7" i="4"/>
  <c r="B8" i="4"/>
  <c r="C8" i="4"/>
  <c r="D8" i="4"/>
  <c r="E8" i="4"/>
  <c r="F8" i="4"/>
  <c r="G8" i="4"/>
  <c r="H8" i="4"/>
  <c r="I8" i="4"/>
  <c r="B9" i="4"/>
  <c r="C9" i="4"/>
  <c r="D9" i="4"/>
  <c r="E9" i="4"/>
  <c r="F9" i="4"/>
  <c r="G9" i="4"/>
  <c r="H9" i="4"/>
  <c r="I9" i="4"/>
  <c r="B10" i="4"/>
  <c r="C10" i="4"/>
  <c r="D10" i="4"/>
  <c r="E10" i="4"/>
  <c r="F10" i="4"/>
  <c r="G10" i="4"/>
  <c r="H10" i="4"/>
  <c r="I10" i="4"/>
  <c r="B11" i="4"/>
  <c r="C11" i="4"/>
  <c r="D11" i="4"/>
  <c r="E11" i="4"/>
  <c r="F11" i="4"/>
  <c r="G11" i="4"/>
  <c r="H11" i="4"/>
  <c r="I11" i="4"/>
  <c r="B12" i="4"/>
  <c r="C12" i="4"/>
  <c r="D12" i="4"/>
  <c r="E12" i="4"/>
  <c r="F12" i="4"/>
  <c r="G12" i="4"/>
  <c r="H12" i="4"/>
  <c r="I12" i="4"/>
  <c r="B13" i="4"/>
  <c r="C13" i="4"/>
  <c r="D13" i="4"/>
  <c r="E13" i="4"/>
  <c r="F13" i="4"/>
  <c r="G13" i="4"/>
  <c r="H13" i="4"/>
  <c r="I13" i="4"/>
  <c r="B14" i="4"/>
  <c r="C14" i="4"/>
  <c r="D14" i="4"/>
  <c r="E14" i="4"/>
  <c r="F14" i="4"/>
  <c r="G14" i="4"/>
  <c r="H14" i="4"/>
  <c r="I14" i="4"/>
  <c r="B15" i="4"/>
  <c r="C15" i="4"/>
  <c r="D15" i="4"/>
  <c r="E15" i="4"/>
  <c r="F15" i="4"/>
  <c r="G15" i="4"/>
  <c r="H15" i="4"/>
  <c r="I15" i="4"/>
  <c r="B16" i="4"/>
  <c r="C16" i="4"/>
  <c r="D16" i="4"/>
  <c r="E16" i="4"/>
  <c r="F16" i="4"/>
  <c r="G16" i="4"/>
  <c r="H16" i="4"/>
  <c r="I16" i="4"/>
  <c r="B17" i="4"/>
  <c r="C17" i="4"/>
  <c r="D17" i="4"/>
  <c r="E17" i="4"/>
  <c r="F17" i="4"/>
  <c r="G17" i="4"/>
  <c r="H17" i="4"/>
  <c r="I17" i="4"/>
  <c r="B18" i="4"/>
  <c r="C18" i="4"/>
  <c r="D18" i="4"/>
  <c r="E18" i="4"/>
  <c r="F18" i="4"/>
  <c r="G18" i="4"/>
  <c r="H18" i="4"/>
  <c r="I18" i="4"/>
  <c r="B19" i="4"/>
  <c r="C19" i="4"/>
  <c r="D19" i="4"/>
  <c r="E19" i="4"/>
  <c r="F19" i="4"/>
  <c r="G19" i="4"/>
  <c r="H19" i="4"/>
  <c r="I19" i="4"/>
  <c r="B20" i="4"/>
  <c r="C20" i="4"/>
  <c r="D20" i="4"/>
  <c r="E20" i="4"/>
  <c r="F20" i="4"/>
  <c r="G20" i="4"/>
  <c r="H20" i="4"/>
  <c r="I20" i="4"/>
  <c r="B21" i="4"/>
  <c r="C21" i="4"/>
  <c r="D21" i="4"/>
  <c r="E21" i="4"/>
  <c r="F21" i="4"/>
  <c r="G21" i="4"/>
  <c r="H21" i="4"/>
  <c r="I21" i="4"/>
  <c r="B22" i="4"/>
  <c r="C22" i="4"/>
  <c r="D22" i="4"/>
  <c r="E22" i="4"/>
  <c r="F22" i="4"/>
  <c r="G22" i="4"/>
  <c r="H22" i="4"/>
  <c r="I22" i="4"/>
  <c r="B23" i="4"/>
  <c r="C23" i="4"/>
  <c r="D23" i="4"/>
  <c r="E23" i="4"/>
  <c r="F23" i="4"/>
  <c r="G23" i="4"/>
  <c r="H23" i="4"/>
  <c r="I23" i="4"/>
  <c r="B24" i="4"/>
  <c r="C24" i="4"/>
  <c r="D24" i="4"/>
  <c r="E24" i="4"/>
  <c r="F24" i="4"/>
  <c r="G24" i="4"/>
  <c r="H24" i="4"/>
  <c r="I24" i="4"/>
  <c r="B25" i="4"/>
  <c r="C25" i="4"/>
  <c r="D25" i="4"/>
  <c r="E25" i="4"/>
  <c r="F25" i="4"/>
  <c r="G25" i="4"/>
  <c r="H25" i="4"/>
  <c r="I25" i="4"/>
  <c r="B26" i="4"/>
  <c r="C26" i="4"/>
  <c r="D26" i="4"/>
  <c r="E26" i="4"/>
  <c r="F26" i="4"/>
  <c r="G26" i="4"/>
  <c r="H26" i="4"/>
  <c r="I26" i="4"/>
  <c r="B27" i="4"/>
  <c r="C27" i="4"/>
  <c r="D27" i="4"/>
  <c r="E27" i="4"/>
  <c r="F27" i="4"/>
  <c r="G27" i="4"/>
  <c r="H27" i="4"/>
  <c r="I27" i="4"/>
  <c r="B28" i="4"/>
  <c r="C28" i="4"/>
  <c r="D28" i="4"/>
  <c r="E28" i="4"/>
  <c r="F28" i="4"/>
  <c r="G28" i="4"/>
  <c r="H28" i="4"/>
  <c r="I28" i="4"/>
  <c r="B29" i="4"/>
  <c r="C29" i="4"/>
  <c r="D29" i="4"/>
  <c r="E29" i="4"/>
  <c r="F29" i="4"/>
  <c r="G29" i="4"/>
  <c r="H29" i="4"/>
  <c r="I29" i="4"/>
  <c r="B30" i="4"/>
  <c r="C30" i="4"/>
  <c r="D30" i="4"/>
  <c r="E30" i="4"/>
  <c r="F30" i="4"/>
  <c r="G30" i="4"/>
  <c r="H30" i="4"/>
  <c r="I30" i="4"/>
  <c r="C4" i="4"/>
  <c r="D4" i="4"/>
  <c r="E4" i="4"/>
  <c r="F4" i="4"/>
  <c r="G4" i="4"/>
  <c r="H4" i="4"/>
  <c r="I4" i="4"/>
  <c r="B4" i="4"/>
  <c r="D1" i="4" l="1"/>
  <c r="E1" i="4" s="1"/>
  <c r="F1" i="4" s="1"/>
  <c r="G1" i="4" s="1"/>
  <c r="H1" i="4" s="1"/>
  <c r="I1" i="4" s="1"/>
  <c r="J1" i="4" s="1"/>
  <c r="L1" i="4" s="1"/>
  <c r="M1" i="4" s="1"/>
  <c r="N1" i="4" s="1"/>
  <c r="O1" i="4" s="1"/>
  <c r="P1" i="4" s="1"/>
  <c r="Q1" i="4" s="1"/>
  <c r="R1" i="4" s="1"/>
  <c r="S1" i="4" s="1"/>
  <c r="T1" i="4" s="1"/>
  <c r="I33" i="4"/>
  <c r="G33" i="4"/>
  <c r="E33" i="4"/>
  <c r="C33" i="4"/>
  <c r="I32" i="4"/>
  <c r="G32" i="4"/>
  <c r="E32" i="4"/>
  <c r="C32" i="4"/>
  <c r="I33" i="2"/>
  <c r="G33" i="2"/>
  <c r="E33" i="2"/>
  <c r="C33" i="2"/>
  <c r="I32" i="2"/>
  <c r="G32" i="2"/>
  <c r="E32" i="2"/>
  <c r="C32" i="2"/>
  <c r="J30" i="2"/>
  <c r="J29" i="2"/>
  <c r="J28" i="2"/>
  <c r="J28" i="4" s="1"/>
  <c r="J27" i="2"/>
  <c r="J26" i="2"/>
  <c r="J25" i="2"/>
  <c r="J24" i="2"/>
  <c r="J23" i="2"/>
  <c r="J23" i="4" s="1"/>
  <c r="J22" i="2"/>
  <c r="J21" i="2"/>
  <c r="J20" i="2"/>
  <c r="J19" i="2"/>
  <c r="J18" i="2"/>
  <c r="J17" i="2"/>
  <c r="J16" i="2"/>
  <c r="J15" i="2"/>
  <c r="J14" i="2"/>
  <c r="J13" i="2"/>
  <c r="J12" i="2"/>
  <c r="J11" i="2"/>
  <c r="J10" i="2"/>
  <c r="J9" i="2"/>
  <c r="J8" i="2"/>
  <c r="J7" i="2"/>
  <c r="J6" i="2"/>
  <c r="J5" i="2"/>
  <c r="J4" i="2"/>
  <c r="K28" i="2" l="1"/>
  <c r="L28" i="2" s="1"/>
  <c r="K21" i="2"/>
  <c r="J21" i="4"/>
  <c r="K19" i="2"/>
  <c r="L19" i="2" s="1"/>
  <c r="J19" i="4"/>
  <c r="K19" i="4" s="1"/>
  <c r="K30" i="2"/>
  <c r="L30" i="2" s="1"/>
  <c r="M30" i="2" s="1"/>
  <c r="J30" i="4"/>
  <c r="K17" i="2"/>
  <c r="L17" i="2" s="1"/>
  <c r="M17" i="2" s="1"/>
  <c r="J17" i="4"/>
  <c r="K17" i="4" s="1"/>
  <c r="K14" i="2"/>
  <c r="L14" i="2" s="1"/>
  <c r="N14" i="2" s="1"/>
  <c r="J14" i="4"/>
  <c r="K14" i="4" s="1"/>
  <c r="K8" i="2"/>
  <c r="L8" i="2" s="1"/>
  <c r="M8" i="2" s="1"/>
  <c r="J8" i="4"/>
  <c r="K8" i="4" s="1"/>
  <c r="K26" i="2"/>
  <c r="L26" i="2" s="1"/>
  <c r="M26" i="2" s="1"/>
  <c r="J26" i="4"/>
  <c r="K26" i="4" s="1"/>
  <c r="K10" i="2"/>
  <c r="M10" i="2" s="1"/>
  <c r="J10" i="4"/>
  <c r="K10" i="4" s="1"/>
  <c r="K6" i="2"/>
  <c r="J6" i="4"/>
  <c r="K6" i="4" s="1"/>
  <c r="K15" i="2"/>
  <c r="J15" i="4"/>
  <c r="K15" i="4" s="1"/>
  <c r="K23" i="2"/>
  <c r="L23" i="2" s="1"/>
  <c r="N23" i="2" s="1"/>
  <c r="K22" i="2"/>
  <c r="J22" i="4"/>
  <c r="K22" i="4" s="1"/>
  <c r="K4" i="2"/>
  <c r="L4" i="2" s="1"/>
  <c r="M4" i="2" s="1"/>
  <c r="J4" i="4"/>
  <c r="K20" i="2"/>
  <c r="L20" i="2" s="1"/>
  <c r="N20" i="2" s="1"/>
  <c r="J20" i="4"/>
  <c r="K20" i="4" s="1"/>
  <c r="K12" i="2"/>
  <c r="L12" i="2" s="1"/>
  <c r="J12" i="4"/>
  <c r="K13" i="2"/>
  <c r="L13" i="2" s="1"/>
  <c r="M13" i="2" s="1"/>
  <c r="J13" i="4"/>
  <c r="K13" i="4" s="1"/>
  <c r="K9" i="2"/>
  <c r="L9" i="2" s="1"/>
  <c r="M9" i="2" s="1"/>
  <c r="J9" i="4"/>
  <c r="K9" i="4" s="1"/>
  <c r="K29" i="2"/>
  <c r="L29" i="2" s="1"/>
  <c r="M29" i="2" s="1"/>
  <c r="J29" i="4"/>
  <c r="K29" i="4" s="1"/>
  <c r="K24" i="2"/>
  <c r="J24" i="4"/>
  <c r="K24" i="4" s="1"/>
  <c r="K18" i="2"/>
  <c r="L18" i="2" s="1"/>
  <c r="N18" i="2" s="1"/>
  <c r="J18" i="4"/>
  <c r="K18" i="4" s="1"/>
  <c r="K7" i="2"/>
  <c r="L7" i="2" s="1"/>
  <c r="M7" i="2" s="1"/>
  <c r="J7" i="4"/>
  <c r="K7" i="4" s="1"/>
  <c r="K27" i="2"/>
  <c r="L27" i="2" s="1"/>
  <c r="M27" i="2" s="1"/>
  <c r="J27" i="4"/>
  <c r="K11" i="2"/>
  <c r="L11" i="2" s="1"/>
  <c r="M11" i="2" s="1"/>
  <c r="J11" i="4"/>
  <c r="K11" i="4" s="1"/>
  <c r="K16" i="2"/>
  <c r="L16" i="2" s="1"/>
  <c r="N16" i="2" s="1"/>
  <c r="J16" i="4"/>
  <c r="K5" i="2"/>
  <c r="L5" i="2" s="1"/>
  <c r="M5" i="2" s="1"/>
  <c r="J5" i="4"/>
  <c r="K25" i="2"/>
  <c r="J25" i="4"/>
  <c r="K25" i="4" s="1"/>
  <c r="K27" i="4"/>
  <c r="K16" i="4"/>
  <c r="K4" i="4"/>
  <c r="K28" i="4"/>
  <c r="K12" i="4"/>
  <c r="K5" i="4"/>
  <c r="K21" i="4"/>
  <c r="K30" i="4"/>
  <c r="K23" i="4"/>
  <c r="L22" i="2"/>
  <c r="N22" i="2" s="1"/>
  <c r="N19" i="2" l="1"/>
  <c r="N28" i="2"/>
  <c r="M28" i="2"/>
  <c r="M19" i="2"/>
  <c r="O19" i="2" s="1"/>
  <c r="M12" i="2"/>
  <c r="N12" i="2"/>
  <c r="M23" i="2"/>
  <c r="O23" i="2" s="1"/>
  <c r="M20" i="2"/>
  <c r="L10" i="2"/>
  <c r="L21" i="2"/>
  <c r="M21" i="2" s="1"/>
  <c r="O28" i="2"/>
  <c r="N26" i="2"/>
  <c r="O26" i="2" s="1"/>
  <c r="N13" i="2"/>
  <c r="O13" i="2" s="1"/>
  <c r="N4" i="2"/>
  <c r="O4" i="2" s="1"/>
  <c r="N27" i="2"/>
  <c r="O27" i="2" s="1"/>
  <c r="L24" i="2"/>
  <c r="N24" i="2" s="1"/>
  <c r="O20" i="2"/>
  <c r="N10" i="2"/>
  <c r="L25" i="2"/>
  <c r="N25" i="2" s="1"/>
  <c r="L15" i="2"/>
  <c r="M15" i="2" s="1"/>
  <c r="L6" i="2"/>
  <c r="N6" i="2" s="1"/>
  <c r="L11" i="4"/>
  <c r="N11" i="4" s="1"/>
  <c r="N22" i="4"/>
  <c r="M22" i="4"/>
  <c r="L14" i="4"/>
  <c r="N14" i="4" s="1"/>
  <c r="L9" i="4"/>
  <c r="M9" i="4" s="1"/>
  <c r="L10" i="4"/>
  <c r="M10" i="4"/>
  <c r="N10" i="4"/>
  <c r="L25" i="4"/>
  <c r="M25" i="4" s="1"/>
  <c r="L12" i="4"/>
  <c r="N12" i="4" s="1"/>
  <c r="L23" i="4"/>
  <c r="M23" i="4" s="1"/>
  <c r="L18" i="4"/>
  <c r="N18" i="4" s="1"/>
  <c r="M18" i="4"/>
  <c r="L17" i="4"/>
  <c r="M17" i="4"/>
  <c r="N17" i="4"/>
  <c r="L16" i="4"/>
  <c r="M16" i="4" s="1"/>
  <c r="L19" i="4"/>
  <c r="M19" i="4" s="1"/>
  <c r="N19" i="4"/>
  <c r="L7" i="4"/>
  <c r="M7" i="4" s="1"/>
  <c r="N7" i="4"/>
  <c r="L20" i="4"/>
  <c r="N20" i="4" s="1"/>
  <c r="L8" i="4"/>
  <c r="M8" i="4" s="1"/>
  <c r="L30" i="4"/>
  <c r="N30" i="4"/>
  <c r="M30" i="4"/>
  <c r="L27" i="4"/>
  <c r="N27" i="4" s="1"/>
  <c r="M27" i="4"/>
  <c r="L15" i="4"/>
  <c r="M15" i="4"/>
  <c r="N15" i="4"/>
  <c r="L5" i="4"/>
  <c r="N5" i="4"/>
  <c r="M5" i="4"/>
  <c r="N17" i="2"/>
  <c r="O17" i="2" s="1"/>
  <c r="M22" i="2"/>
  <c r="O22" i="2" s="1"/>
  <c r="M18" i="2"/>
  <c r="O18" i="2" s="1"/>
  <c r="L26" i="4"/>
  <c r="M26" i="4" s="1"/>
  <c r="N11" i="2"/>
  <c r="O11" i="2" s="1"/>
  <c r="M16" i="2"/>
  <c r="O16" i="2" s="1"/>
  <c r="L24" i="4"/>
  <c r="M24" i="4" s="1"/>
  <c r="L6" i="4"/>
  <c r="N6" i="4" s="1"/>
  <c r="L21" i="4"/>
  <c r="L22" i="4"/>
  <c r="L29" i="4"/>
  <c r="N29" i="4" s="1"/>
  <c r="L13" i="4"/>
  <c r="N13" i="4" s="1"/>
  <c r="L4" i="4"/>
  <c r="L28" i="4"/>
  <c r="M28" i="4" s="1"/>
  <c r="N8" i="2"/>
  <c r="O8" i="2" s="1"/>
  <c r="M14" i="2"/>
  <c r="O14" i="2" s="1"/>
  <c r="N7" i="2"/>
  <c r="O7" i="2" s="1"/>
  <c r="N9" i="2"/>
  <c r="O9" i="2" s="1"/>
  <c r="N30" i="2"/>
  <c r="O30" i="2" s="1"/>
  <c r="N29" i="2"/>
  <c r="O29" i="2" s="1"/>
  <c r="N5" i="2"/>
  <c r="O5" i="2" s="1"/>
  <c r="O10" i="2"/>
  <c r="N23" i="4" l="1"/>
  <c r="N21" i="2"/>
  <c r="N28" i="4"/>
  <c r="O21" i="2"/>
  <c r="N8" i="4"/>
  <c r="N16" i="4"/>
  <c r="M14" i="4"/>
  <c r="N9" i="4"/>
  <c r="M11" i="4"/>
  <c r="M25" i="2"/>
  <c r="O25" i="2" s="1"/>
  <c r="M20" i="4"/>
  <c r="O12" i="2"/>
  <c r="N25" i="4"/>
  <c r="M24" i="2"/>
  <c r="O24" i="2" s="1"/>
  <c r="M29" i="4"/>
  <c r="N26" i="4"/>
  <c r="M12" i="4"/>
  <c r="N15" i="2"/>
  <c r="O15" i="2" s="1"/>
  <c r="M6" i="2"/>
  <c r="M6" i="4"/>
  <c r="N24" i="4"/>
  <c r="M4" i="4"/>
  <c r="M13" i="4"/>
  <c r="M21" i="4"/>
  <c r="N4" i="4"/>
  <c r="N21" i="4"/>
  <c r="M33" i="2" l="1"/>
  <c r="N33" i="2"/>
  <c r="N32" i="2"/>
  <c r="N35" i="2" s="1"/>
  <c r="B1" i="2" s="1"/>
  <c r="M32" i="4"/>
  <c r="M32" i="2"/>
  <c r="O6" i="2"/>
  <c r="O32" i="2" s="1"/>
  <c r="M33" i="4"/>
  <c r="O32" i="4"/>
  <c r="N33" i="4"/>
  <c r="N32" i="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<sst xmlns="http://schemas.openxmlformats.org/spreadsheetml/2006/main" count="182" uniqueCount="42">
  <si>
    <t>Sensor at x</t>
  </si>
  <si>
    <t xml:space="preserve"> y</t>
  </si>
  <si>
    <t xml:space="preserve"> closest beacon is at x</t>
  </si>
  <si>
    <t>X</t>
  </si>
  <si>
    <t>Y</t>
  </si>
  <si>
    <t>Sensor</t>
  </si>
  <si>
    <t>MAX</t>
  </si>
  <si>
    <t>MIN</t>
  </si>
  <si>
    <t>Distance</t>
  </si>
  <si>
    <t>Min</t>
  </si>
  <si>
    <t>Max</t>
  </si>
  <si>
    <t>Points</t>
  </si>
  <si>
    <t>Part 1</t>
  </si>
  <si>
    <t>Part 2</t>
  </si>
  <si>
    <t>Sensor at x=1326566, y=3575946: closest beacon is at x=1374835, y=2000000</t>
  </si>
  <si>
    <t>Sensor at x=2681168, y=3951549: closest beacon is at x=3184941, y=3924923</t>
  </si>
  <si>
    <t>Sensor at x=3959984, y=1095746: closest beacon is at x=3621412, y=2239432</t>
  </si>
  <si>
    <t>Sensor at x=3150886, y=2479946: closest beacon is at x=3621412, y=2239432</t>
  </si>
  <si>
    <t>Sensor at x=3983027, y=2972336: closest beacon is at x=4012908, y=3083616</t>
  </si>
  <si>
    <t>Sensor at x=3371601, y=3853300: closest beacon is at x=3184941, y=3924923</t>
  </si>
  <si>
    <t>Sensor at x=3174612, y=3992719: closest beacon is at x=3184941, y=3924923</t>
  </si>
  <si>
    <t>Sensor at x=3316368, y=1503688: closest beacon is at x=3621412, y=2239432</t>
  </si>
  <si>
    <t>Sensor at x=3818181, y=2331216: closest beacon is at x=3621412, y=2239432</t>
  </si>
  <si>
    <t>Sensor at x=3960526, y=3229321: closest beacon is at x=4012908, y=3083616</t>
  </si>
  <si>
    <t>Sensor at x=61030, y=3045273: closest beacon is at x=-467419, y=2369316</t>
  </si>
  <si>
    <t>Sensor at x=3635583, y=3121524: closest beacon is at x=4012908, y=3083616</t>
  </si>
  <si>
    <t>Sensor at x=2813357, y=5535: closest beacon is at x=3595763, y=-77322</t>
  </si>
  <si>
    <t>Sensor at x=382745, y=1566522: closest beacon is at x=1374835, y=2000000</t>
  </si>
  <si>
    <t>Sensor at x=3585664, y=538632: closest beacon is at x=3595763, y=-77322</t>
  </si>
  <si>
    <t>Sensor at x=3979654, y=2158646: closest beacon is at x=3621412, y=2239432</t>
  </si>
  <si>
    <t>Sensor at x=3996588, y=2833167: closest beacon is at x=4012908, y=3083616</t>
  </si>
  <si>
    <t>Sensor at x=3249383, y=141800: closest beacon is at x=3595763, y=-77322</t>
  </si>
  <si>
    <t>Sensor at x=3847114, y=225529: closest beacon is at x=3595763, y=-77322</t>
  </si>
  <si>
    <t>Sensor at x=3668737, y=3720078: closest beacon is at x=3184941, y=3924923</t>
  </si>
  <si>
    <t>Sensor at x=1761961, y=680560: closest beacon is at x=1374835, y=2000000</t>
  </si>
  <si>
    <t>Sensor at x=2556636, y=2213691: closest beacon is at x=3621412, y=2239432</t>
  </si>
  <si>
    <t>Sensor at x=65365, y=215977: closest beacon is at x=346716, y=-573228</t>
  </si>
  <si>
    <t>Sensor at x=709928, y=2270200: closest beacon is at x=1374835, y=2000000</t>
  </si>
  <si>
    <t>Sensor at x=3673956, y=2670437: closest beacon is at x=4029651, y=2547743</t>
  </si>
  <si>
    <t>Sensor at x=3250958, y=3999227: closest beacon is at x=3184941, y=3924923</t>
  </si>
  <si>
    <t>Sensor at x=3009537, y=3292368: closest beacon is at x=3184941, y=3924923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</si>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</sst>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9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0"/>
      <color rgb="FF000000"/>
      <name val="Arial Unicode MS"/>
      <family val="2"/>
    </font>
    <font>
      <sz val="12"/>
      <color rgb="FF006100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000000"/>
      <name val="Calibri"/>
      <family val="2"/>
    </font>
    <font>
      <sz val="10"/>
      <color rgb="FF000000"/>
      <name val="Arial Unicode MS"/>
    </font>
    <font>
      <sz val="12"/>
      <name val="Calibri"/>
      <family val="2"/>
      <scheme val="minor"/>
    </font>
    <font>
      <b/>
      <sz val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</cellStyleXfs>
  <cellXfs count="16">
    <xf numFmtId="0" fontId="0" fillId="0" borderId="0" xfId="0"/>
    <xf numFmtId="0" fontId="2" fillId="0" borderId="0" xfId="0" applyFont="1"/>
    <xf numFmtId="0" fontId="3" fillId="3" borderId="0" xfId="2"/>
    <xf numFmtId="1" fontId="3" fillId="3" borderId="0" xfId="2" applyNumberFormat="1"/>
    <xf numFmtId="0" fontId="6" fillId="0" borderId="0" xfId="0" applyFont="1" applyAlignment="1">
      <alignment vertical="center"/>
    </xf>
    <xf numFmtId="0" fontId="0" fillId="0" borderId="0" xfId="0" applyFill="1"/>
    <xf numFmtId="0" fontId="2" fillId="0" borderId="0" xfId="0" applyFont="1" applyFill="1"/>
    <xf numFmtId="0" fontId="1" fillId="0" borderId="0" xfId="1" applyFill="1"/>
    <xf numFmtId="0" fontId="3" fillId="0" borderId="0" xfId="2" applyFill="1"/>
    <xf numFmtId="0" fontId="7" fillId="0" borderId="0" xfId="1" applyFont="1" applyFill="1"/>
    <xf numFmtId="0" fontId="8" fillId="5" borderId="0" xfId="2" applyFont="1" applyFill="1"/>
    <xf numFmtId="0" fontId="8" fillId="3" borderId="0" xfId="2" applyFont="1"/>
    <xf numFmtId="0" fontId="8" fillId="4" borderId="1" xfId="3" applyFont="1"/>
    <xf numFmtId="0" fontId="7" fillId="0" borderId="0" xfId="0" applyFont="1"/>
    <xf numFmtId="0" fontId="7" fillId="0" borderId="0" xfId="0" applyFont="1" applyFill="1"/>
    <xf numFmtId="0" fontId="7" fillId="0" borderId="0" xfId="2" applyFont="1" applyFill="1"/>
  </cellXfs>
  <cellStyles count="4">
    <cellStyle name="Bueno" xfId="2" builtinId="26"/>
    <cellStyle name="Cálculo" xfId="3" builtinId="22"/>
    <cellStyle name="Incorrecto" xfId="1" builtinId="27"/>
    <cellStyle name="Normal" xfId="0" builtinId="0"/>
  </cellStyles>
  <dxfs count="0"/>
  <tableStyles count="1" defaultTableStyle="TableStyleMedium2" defaultPivotStyle="PivotStyleLight16">
    <tableStyle name="Invisible" pivot="0" table="0" count="0" xr9:uid="{000D83AD-C897-4B04-A035-7BD5EBCBE04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47626</xdr:rowOff>
        </xdr:from>
        <xdr:to>
          <xdr:col>2</xdr:col>
          <xdr:colOff>1</xdr:colOff>
          <xdr:row>2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Solve Part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7DCDF-F2F3-43A8-AA1E-42A76B9500D3}">
  <sheetPr codeName="Hoja1"/>
  <dimension ref="A1:J27"/>
  <sheetViews>
    <sheetView workbookViewId="0">
      <selection activeCell="C1" sqref="C1"/>
    </sheetView>
  </sheetViews>
  <sheetFormatPr baseColWidth="10" defaultRowHeight="15.75"/>
  <cols>
    <col min="2" max="2" width="2.625" customWidth="1"/>
    <col min="3" max="3" width="9.75" bestFit="1" customWidth="1"/>
    <col min="4" max="4" width="7.875" bestFit="1" customWidth="1"/>
    <col min="5" max="5" width="2.25" bestFit="1" customWidth="1"/>
    <col min="6" max="6" width="7.875" bestFit="1" customWidth="1"/>
    <col min="7" max="7" width="19" bestFit="1" customWidth="1"/>
    <col min="8" max="8" width="7.875" bestFit="1" customWidth="1"/>
    <col min="9" max="9" width="2.25" bestFit="1" customWidth="1"/>
    <col min="10" max="10" width="7.875" bestFit="1" customWidth="1"/>
  </cols>
  <sheetData>
    <row r="1" spans="1:10">
      <c r="A1" s="4" t="s">
        <v>14</v>
      </c>
      <c r="B1" t="s">
        <v>41</v>
      </c>
      <c r="C1" t="str" cm="1">
        <f t="array" ref="C1:J1">_xlfn.TEXTSPLIT(A1,{"=",",","=",":"})</f>
        <v>Sensor at x</v>
      </c>
      <c r="D1" t="str">
        <v>1326566</v>
      </c>
      <c r="E1" t="str">
        <v xml:space="preserve"> y</v>
      </c>
      <c r="F1" t="str">
        <v>3575946</v>
      </c>
      <c r="G1" t="str">
        <v xml:space="preserve"> closest beacon is at x</v>
      </c>
      <c r="H1" t="str">
        <v>1374835</v>
      </c>
      <c r="I1" t="str">
        <v xml:space="preserve"> y</v>
      </c>
      <c r="J1" t="str">
        <v>2000000</v>
      </c>
    </row>
    <row r="2" spans="1:10">
      <c r="A2" s="4" t="s">
        <v>15</v>
      </c>
      <c r="B2" t="s">
        <v>41</v>
      </c>
      <c r="C2" t="str" cm="1">
        <f t="array" ref="C2:J2">_xlfn.TEXTSPLIT(A2,{"=",",","=",":"})</f>
        <v>Sensor at x</v>
      </c>
      <c r="D2" t="str">
        <v>2681168</v>
      </c>
      <c r="E2" t="str">
        <v xml:space="preserve"> y</v>
      </c>
      <c r="F2" t="str">
        <v>3951549</v>
      </c>
      <c r="G2" t="str">
        <v xml:space="preserve"> closest beacon is at x</v>
      </c>
      <c r="H2" t="str">
        <v>3184941</v>
      </c>
      <c r="I2" t="str">
        <v xml:space="preserve"> y</v>
      </c>
      <c r="J2" t="str">
        <v>3924923</v>
      </c>
    </row>
    <row r="3" spans="1:10">
      <c r="A3" s="4" t="s">
        <v>16</v>
      </c>
      <c r="B3" t="s">
        <v>41</v>
      </c>
      <c r="C3" t="str" cm="1">
        <f t="array" ref="C3:J3">_xlfn.TEXTSPLIT(A3,{"=",",","=",":"})</f>
        <v>Sensor at x</v>
      </c>
      <c r="D3" t="str">
        <v>3959984</v>
      </c>
      <c r="E3" t="str">
        <v xml:space="preserve"> y</v>
      </c>
      <c r="F3" t="str">
        <v>1095746</v>
      </c>
      <c r="G3" t="str">
        <v xml:space="preserve"> closest beacon is at x</v>
      </c>
      <c r="H3" t="str">
        <v>3621412</v>
      </c>
      <c r="I3" t="str">
        <v xml:space="preserve"> y</v>
      </c>
      <c r="J3" t="str">
        <v>2239432</v>
      </c>
    </row>
    <row r="4" spans="1:10">
      <c r="A4" s="4" t="s">
        <v>17</v>
      </c>
      <c r="B4" t="s">
        <v>41</v>
      </c>
      <c r="C4" t="str" cm="1">
        <f t="array" ref="C4:J4">_xlfn.TEXTSPLIT(A4,{"=",",","=",":"})</f>
        <v>Sensor at x</v>
      </c>
      <c r="D4" t="str">
        <v>3150886</v>
      </c>
      <c r="E4" t="str">
        <v xml:space="preserve"> y</v>
      </c>
      <c r="F4" t="str">
        <v>2479946</v>
      </c>
      <c r="G4" t="str">
        <v xml:space="preserve"> closest beacon is at x</v>
      </c>
      <c r="H4" t="str">
        <v>3621412</v>
      </c>
      <c r="I4" t="str">
        <v xml:space="preserve"> y</v>
      </c>
      <c r="J4" t="str">
        <v>2239432</v>
      </c>
    </row>
    <row r="5" spans="1:10">
      <c r="A5" s="4" t="s">
        <v>18</v>
      </c>
      <c r="B5" t="s">
        <v>41</v>
      </c>
      <c r="C5" t="str" cm="1">
        <f t="array" ref="C5:J5">_xlfn.TEXTSPLIT(A5,{"=",",","=",":"})</f>
        <v>Sensor at x</v>
      </c>
      <c r="D5" t="str">
        <v>3983027</v>
      </c>
      <c r="E5" t="str">
        <v xml:space="preserve"> y</v>
      </c>
      <c r="F5" t="str">
        <v>2972336</v>
      </c>
      <c r="G5" t="str">
        <v xml:space="preserve"> closest beacon is at x</v>
      </c>
      <c r="H5" t="str">
        <v>4012908</v>
      </c>
      <c r="I5" t="str">
        <v xml:space="preserve"> y</v>
      </c>
      <c r="J5" t="str">
        <v>3083616</v>
      </c>
    </row>
    <row r="6" spans="1:10">
      <c r="A6" s="4" t="s">
        <v>19</v>
      </c>
      <c r="B6" t="s">
        <v>41</v>
      </c>
      <c r="C6" t="str" cm="1">
        <f t="array" ref="C6:J6">_xlfn.TEXTSPLIT(A6,{"=",",","=",":"})</f>
        <v>Sensor at x</v>
      </c>
      <c r="D6" t="str">
        <v>3371601</v>
      </c>
      <c r="E6" t="str">
        <v xml:space="preserve"> y</v>
      </c>
      <c r="F6" t="str">
        <v>3853300</v>
      </c>
      <c r="G6" t="str">
        <v xml:space="preserve"> closest beacon is at x</v>
      </c>
      <c r="H6" t="str">
        <v>3184941</v>
      </c>
      <c r="I6" t="str">
        <v xml:space="preserve"> y</v>
      </c>
      <c r="J6" t="str">
        <v>3924923</v>
      </c>
    </row>
    <row r="7" spans="1:10">
      <c r="A7" s="4" t="s">
        <v>20</v>
      </c>
      <c r="B7" t="s">
        <v>41</v>
      </c>
      <c r="C7" t="str" cm="1">
        <f t="array" ref="C7:J7">_xlfn.TEXTSPLIT(A7,{"=",",","=",":"})</f>
        <v>Sensor at x</v>
      </c>
      <c r="D7" t="str">
        <v>3174612</v>
      </c>
      <c r="E7" t="str">
        <v xml:space="preserve"> y</v>
      </c>
      <c r="F7" t="str">
        <v>3992719</v>
      </c>
      <c r="G7" t="str">
        <v xml:space="preserve"> closest beacon is at x</v>
      </c>
      <c r="H7" t="str">
        <v>3184941</v>
      </c>
      <c r="I7" t="str">
        <v xml:space="preserve"> y</v>
      </c>
      <c r="J7" t="str">
        <v>3924923</v>
      </c>
    </row>
    <row r="8" spans="1:10">
      <c r="A8" s="4" t="s">
        <v>21</v>
      </c>
      <c r="B8" t="s">
        <v>41</v>
      </c>
      <c r="C8" t="str" cm="1">
        <f t="array" ref="C8:J8">_xlfn.TEXTSPLIT(A8,{"=",",","=",":"})</f>
        <v>Sensor at x</v>
      </c>
      <c r="D8" t="str">
        <v>3316368</v>
      </c>
      <c r="E8" t="str">
        <v xml:space="preserve"> y</v>
      </c>
      <c r="F8" t="str">
        <v>1503688</v>
      </c>
      <c r="G8" t="str">
        <v xml:space="preserve"> closest beacon is at x</v>
      </c>
      <c r="H8" t="str">
        <v>3621412</v>
      </c>
      <c r="I8" t="str">
        <v xml:space="preserve"> y</v>
      </c>
      <c r="J8" t="str">
        <v>2239432</v>
      </c>
    </row>
    <row r="9" spans="1:10">
      <c r="A9" s="4" t="s">
        <v>22</v>
      </c>
      <c r="B9" t="s">
        <v>41</v>
      </c>
      <c r="C9" t="str" cm="1">
        <f t="array" ref="C9:J9">_xlfn.TEXTSPLIT(A9,{"=",",","=",":"})</f>
        <v>Sensor at x</v>
      </c>
      <c r="D9" t="str">
        <v>3818181</v>
      </c>
      <c r="E9" t="str">
        <v xml:space="preserve"> y</v>
      </c>
      <c r="F9" t="str">
        <v>2331216</v>
      </c>
      <c r="G9" t="str">
        <v xml:space="preserve"> closest beacon is at x</v>
      </c>
      <c r="H9" t="str">
        <v>3621412</v>
      </c>
      <c r="I9" t="str">
        <v xml:space="preserve"> y</v>
      </c>
      <c r="J9" t="str">
        <v>2239432</v>
      </c>
    </row>
    <row r="10" spans="1:10">
      <c r="A10" s="4" t="s">
        <v>23</v>
      </c>
      <c r="B10" t="s">
        <v>41</v>
      </c>
      <c r="C10" t="str" cm="1">
        <f t="array" ref="C10:J10">_xlfn.TEXTSPLIT(A10,{"=",",","=",":"})</f>
        <v>Sensor at x</v>
      </c>
      <c r="D10" t="str">
        <v>3960526</v>
      </c>
      <c r="E10" t="str">
        <v xml:space="preserve"> y</v>
      </c>
      <c r="F10" t="str">
        <v>3229321</v>
      </c>
      <c r="G10" t="str">
        <v xml:space="preserve"> closest beacon is at x</v>
      </c>
      <c r="H10" t="str">
        <v>4012908</v>
      </c>
      <c r="I10" t="str">
        <v xml:space="preserve"> y</v>
      </c>
      <c r="J10" t="str">
        <v>3083616</v>
      </c>
    </row>
    <row r="11" spans="1:10">
      <c r="A11" s="4" t="s">
        <v>24</v>
      </c>
      <c r="B11" t="s">
        <v>41</v>
      </c>
      <c r="C11" t="str" cm="1">
        <f t="array" ref="C11:J11">_xlfn.TEXTSPLIT(A11,{"=",",","=",":"})</f>
        <v>Sensor at x</v>
      </c>
      <c r="D11" t="str">
        <v>61030</v>
      </c>
      <c r="E11" t="str">
        <v xml:space="preserve"> y</v>
      </c>
      <c r="F11" t="str">
        <v>3045273</v>
      </c>
      <c r="G11" t="str">
        <v xml:space="preserve"> closest beacon is at x</v>
      </c>
      <c r="H11" t="str">
        <v>-467419</v>
      </c>
      <c r="I11" t="str">
        <v xml:space="preserve"> y</v>
      </c>
      <c r="J11" t="str">
        <v>2369316</v>
      </c>
    </row>
    <row r="12" spans="1:10">
      <c r="A12" s="4" t="s">
        <v>25</v>
      </c>
      <c r="B12" t="s">
        <v>41</v>
      </c>
      <c r="C12" t="str" cm="1">
        <f t="array" ref="C12:J12">_xlfn.TEXTSPLIT(A12,{"=",",","=",":"})</f>
        <v>Sensor at x</v>
      </c>
      <c r="D12" t="str">
        <v>3635583</v>
      </c>
      <c r="E12" t="str">
        <v xml:space="preserve"> y</v>
      </c>
      <c r="F12" t="str">
        <v>3121524</v>
      </c>
      <c r="G12" t="str">
        <v xml:space="preserve"> closest beacon is at x</v>
      </c>
      <c r="H12" t="str">
        <v>4012908</v>
      </c>
      <c r="I12" t="str">
        <v xml:space="preserve"> y</v>
      </c>
      <c r="J12" t="str">
        <v>3083616</v>
      </c>
    </row>
    <row r="13" spans="1:10">
      <c r="A13" s="4" t="s">
        <v>26</v>
      </c>
      <c r="B13" t="s">
        <v>41</v>
      </c>
      <c r="C13" t="str" cm="1">
        <f t="array" ref="C13:J13">_xlfn.TEXTSPLIT(A13,{"=",",","=",":"})</f>
        <v>Sensor at x</v>
      </c>
      <c r="D13" t="str">
        <v>2813357</v>
      </c>
      <c r="E13" t="str">
        <v xml:space="preserve"> y</v>
      </c>
      <c r="F13" t="str">
        <v>5535</v>
      </c>
      <c r="G13" t="str">
        <v xml:space="preserve"> closest beacon is at x</v>
      </c>
      <c r="H13" t="str">
        <v>3595763</v>
      </c>
      <c r="I13" t="str">
        <v xml:space="preserve"> y</v>
      </c>
      <c r="J13" t="str">
        <v>-77322</v>
      </c>
    </row>
    <row r="14" spans="1:10">
      <c r="A14" s="4" t="s">
        <v>27</v>
      </c>
      <c r="B14" t="s">
        <v>41</v>
      </c>
      <c r="C14" t="str" cm="1">
        <f t="array" ref="C14:J14">_xlfn.TEXTSPLIT(A14,{"=",",","=",":"})</f>
        <v>Sensor at x</v>
      </c>
      <c r="D14" t="str">
        <v>382745</v>
      </c>
      <c r="E14" t="str">
        <v xml:space="preserve"> y</v>
      </c>
      <c r="F14" t="str">
        <v>1566522</v>
      </c>
      <c r="G14" t="str">
        <v xml:space="preserve"> closest beacon is at x</v>
      </c>
      <c r="H14" t="str">
        <v>1374835</v>
      </c>
      <c r="I14" t="str">
        <v xml:space="preserve"> y</v>
      </c>
      <c r="J14" t="str">
        <v>2000000</v>
      </c>
    </row>
    <row r="15" spans="1:10">
      <c r="A15" s="4" t="s">
        <v>28</v>
      </c>
      <c r="B15" t="s">
        <v>41</v>
      </c>
      <c r="C15" t="str" cm="1">
        <f t="array" ref="C15:J15">_xlfn.TEXTSPLIT(A15,{"=",",","=",":"})</f>
        <v>Sensor at x</v>
      </c>
      <c r="D15" t="str">
        <v>3585664</v>
      </c>
      <c r="E15" t="str">
        <v xml:space="preserve"> y</v>
      </c>
      <c r="F15" t="str">
        <v>538632</v>
      </c>
      <c r="G15" t="str">
        <v xml:space="preserve"> closest beacon is at x</v>
      </c>
      <c r="H15" t="str">
        <v>3595763</v>
      </c>
      <c r="I15" t="str">
        <v xml:space="preserve"> y</v>
      </c>
      <c r="J15" t="str">
        <v>-77322</v>
      </c>
    </row>
    <row r="16" spans="1:10">
      <c r="A16" s="4" t="s">
        <v>29</v>
      </c>
      <c r="B16" t="s">
        <v>41</v>
      </c>
      <c r="C16" t="str" cm="1">
        <f t="array" ref="C16:J16">_xlfn.TEXTSPLIT(A16,{"=",",","=",":"})</f>
        <v>Sensor at x</v>
      </c>
      <c r="D16" t="str">
        <v>3979654</v>
      </c>
      <c r="E16" t="str">
        <v xml:space="preserve"> y</v>
      </c>
      <c r="F16" t="str">
        <v>2158646</v>
      </c>
      <c r="G16" t="str">
        <v xml:space="preserve"> closest beacon is at x</v>
      </c>
      <c r="H16" t="str">
        <v>3621412</v>
      </c>
      <c r="I16" t="str">
        <v xml:space="preserve"> y</v>
      </c>
      <c r="J16" t="str">
        <v>2239432</v>
      </c>
    </row>
    <row r="17" spans="1:10">
      <c r="A17" s="4" t="s">
        <v>30</v>
      </c>
      <c r="B17" t="s">
        <v>41</v>
      </c>
      <c r="C17" t="str" cm="1">
        <f t="array" ref="C17:J17">_xlfn.TEXTSPLIT(A17,{"=",",","=",":"})</f>
        <v>Sensor at x</v>
      </c>
      <c r="D17" t="str">
        <v>3996588</v>
      </c>
      <c r="E17" t="str">
        <v xml:space="preserve"> y</v>
      </c>
      <c r="F17" t="str">
        <v>2833167</v>
      </c>
      <c r="G17" t="str">
        <v xml:space="preserve"> closest beacon is at x</v>
      </c>
      <c r="H17" t="str">
        <v>4012908</v>
      </c>
      <c r="I17" t="str">
        <v xml:space="preserve"> y</v>
      </c>
      <c r="J17" t="str">
        <v>3083616</v>
      </c>
    </row>
    <row r="18" spans="1:10">
      <c r="A18" s="4" t="s">
        <v>31</v>
      </c>
      <c r="B18" t="s">
        <v>41</v>
      </c>
      <c r="C18" t="str" cm="1">
        <f t="array" ref="C18:J18">_xlfn.TEXTSPLIT(A18,{"=",",","=",":"})</f>
        <v>Sensor at x</v>
      </c>
      <c r="D18" t="str">
        <v>3249383</v>
      </c>
      <c r="E18" t="str">
        <v xml:space="preserve"> y</v>
      </c>
      <c r="F18" t="str">
        <v>141800</v>
      </c>
      <c r="G18" t="str">
        <v xml:space="preserve"> closest beacon is at x</v>
      </c>
      <c r="H18" t="str">
        <v>3595763</v>
      </c>
      <c r="I18" t="str">
        <v xml:space="preserve"> y</v>
      </c>
      <c r="J18" t="str">
        <v>-77322</v>
      </c>
    </row>
    <row r="19" spans="1:10">
      <c r="A19" s="4" t="s">
        <v>32</v>
      </c>
      <c r="B19" t="s">
        <v>41</v>
      </c>
      <c r="C19" t="str" cm="1">
        <f t="array" ref="C19:J19">_xlfn.TEXTSPLIT(A19,{"=",",","=",":"})</f>
        <v>Sensor at x</v>
      </c>
      <c r="D19" t="str">
        <v>3847114</v>
      </c>
      <c r="E19" t="str">
        <v xml:space="preserve"> y</v>
      </c>
      <c r="F19" t="str">
        <v>225529</v>
      </c>
      <c r="G19" t="str">
        <v xml:space="preserve"> closest beacon is at x</v>
      </c>
      <c r="H19" t="str">
        <v>3595763</v>
      </c>
      <c r="I19" t="str">
        <v xml:space="preserve"> y</v>
      </c>
      <c r="J19" t="str">
        <v>-77322</v>
      </c>
    </row>
    <row r="20" spans="1:10">
      <c r="A20" s="4" t="s">
        <v>33</v>
      </c>
      <c r="B20" t="s">
        <v>41</v>
      </c>
      <c r="C20" t="str" cm="1">
        <f t="array" ref="C20:J20">_xlfn.TEXTSPLIT(A20,{"=",",","=",":"})</f>
        <v>Sensor at x</v>
      </c>
      <c r="D20" t="str">
        <v>3668737</v>
      </c>
      <c r="E20" t="str">
        <v xml:space="preserve"> y</v>
      </c>
      <c r="F20" t="str">
        <v>3720078</v>
      </c>
      <c r="G20" t="str">
        <v xml:space="preserve"> closest beacon is at x</v>
      </c>
      <c r="H20" t="str">
        <v>3184941</v>
      </c>
      <c r="I20" t="str">
        <v xml:space="preserve"> y</v>
      </c>
      <c r="J20" t="str">
        <v>3924923</v>
      </c>
    </row>
    <row r="21" spans="1:10">
      <c r="A21" s="4" t="s">
        <v>34</v>
      </c>
      <c r="B21" t="s">
        <v>41</v>
      </c>
      <c r="C21" t="str" cm="1">
        <f t="array" ref="C21:J21">_xlfn.TEXTSPLIT(A21,{"=",",","=",":"})</f>
        <v>Sensor at x</v>
      </c>
      <c r="D21" t="str">
        <v>1761961</v>
      </c>
      <c r="E21" t="str">
        <v xml:space="preserve"> y</v>
      </c>
      <c r="F21" t="str">
        <v>680560</v>
      </c>
      <c r="G21" t="str">
        <v xml:space="preserve"> closest beacon is at x</v>
      </c>
      <c r="H21" t="str">
        <v>1374835</v>
      </c>
      <c r="I21" t="str">
        <v xml:space="preserve"> y</v>
      </c>
      <c r="J21" t="str">
        <v>2000000</v>
      </c>
    </row>
    <row r="22" spans="1:10">
      <c r="A22" s="4" t="s">
        <v>35</v>
      </c>
      <c r="B22" t="s">
        <v>41</v>
      </c>
      <c r="C22" t="str" cm="1">
        <f t="array" ref="C22:J22">_xlfn.TEXTSPLIT(A22,{"=",",","=",":"})</f>
        <v>Sensor at x</v>
      </c>
      <c r="D22" t="str">
        <v>2556636</v>
      </c>
      <c r="E22" t="str">
        <v xml:space="preserve"> y</v>
      </c>
      <c r="F22" t="str">
        <v>2213691</v>
      </c>
      <c r="G22" t="str">
        <v xml:space="preserve"> closest beacon is at x</v>
      </c>
      <c r="H22" t="str">
        <v>3621412</v>
      </c>
      <c r="I22" t="str">
        <v xml:space="preserve"> y</v>
      </c>
      <c r="J22" t="str">
        <v>2239432</v>
      </c>
    </row>
    <row r="23" spans="1:10">
      <c r="A23" s="4" t="s">
        <v>36</v>
      </c>
      <c r="B23" t="s">
        <v>41</v>
      </c>
      <c r="C23" t="str" cm="1">
        <f t="array" ref="C23:J23">_xlfn.TEXTSPLIT(A23,{"=",",","=",":"})</f>
        <v>Sensor at x</v>
      </c>
      <c r="D23" t="str">
        <v>65365</v>
      </c>
      <c r="E23" t="str">
        <v xml:space="preserve"> y</v>
      </c>
      <c r="F23" t="str">
        <v>215977</v>
      </c>
      <c r="G23" t="str">
        <v xml:space="preserve"> closest beacon is at x</v>
      </c>
      <c r="H23" t="str">
        <v>346716</v>
      </c>
      <c r="I23" t="str">
        <v xml:space="preserve"> y</v>
      </c>
      <c r="J23" t="str">
        <v>-573228</v>
      </c>
    </row>
    <row r="24" spans="1:10">
      <c r="A24" s="4" t="s">
        <v>37</v>
      </c>
      <c r="B24" t="s">
        <v>41</v>
      </c>
      <c r="C24" t="str" cm="1">
        <f t="array" ref="C24:J24">_xlfn.TEXTSPLIT(A24,{"=",",","=",":"})</f>
        <v>Sensor at x</v>
      </c>
      <c r="D24" t="str">
        <v>709928</v>
      </c>
      <c r="E24" t="str">
        <v xml:space="preserve"> y</v>
      </c>
      <c r="F24" t="str">
        <v>2270200</v>
      </c>
      <c r="G24" t="str">
        <v xml:space="preserve"> closest beacon is at x</v>
      </c>
      <c r="H24" t="str">
        <v>1374835</v>
      </c>
      <c r="I24" t="str">
        <v xml:space="preserve"> y</v>
      </c>
      <c r="J24" t="str">
        <v>2000000</v>
      </c>
    </row>
    <row r="25" spans="1:10">
      <c r="A25" s="4" t="s">
        <v>38</v>
      </c>
      <c r="B25" t="s">
        <v>41</v>
      </c>
      <c r="C25" t="str" cm="1">
        <f t="array" ref="C25:J25">_xlfn.TEXTSPLIT(A25,{"=",",","=",":"})</f>
        <v>Sensor at x</v>
      </c>
      <c r="D25" t="str">
        <v>3673956</v>
      </c>
      <c r="E25" t="str">
        <v xml:space="preserve"> y</v>
      </c>
      <c r="F25" t="str">
        <v>2670437</v>
      </c>
      <c r="G25" t="str">
        <v xml:space="preserve"> closest beacon is at x</v>
      </c>
      <c r="H25" t="str">
        <v>4029651</v>
      </c>
      <c r="I25" t="str">
        <v xml:space="preserve"> y</v>
      </c>
      <c r="J25" t="str">
        <v>2547743</v>
      </c>
    </row>
    <row r="26" spans="1:10">
      <c r="A26" s="4" t="s">
        <v>39</v>
      </c>
      <c r="B26" t="s">
        <v>41</v>
      </c>
      <c r="C26" t="str" cm="1">
        <f t="array" ref="C26:J26">_xlfn.TEXTSPLIT(A26,{"=",",","=",":"})</f>
        <v>Sensor at x</v>
      </c>
      <c r="D26" t="str">
        <v>3250958</v>
      </c>
      <c r="E26" t="str">
        <v xml:space="preserve"> y</v>
      </c>
      <c r="F26" t="str">
        <v>3999227</v>
      </c>
      <c r="G26" t="str">
        <v xml:space="preserve"> closest beacon is at x</v>
      </c>
      <c r="H26" t="str">
        <v>3184941</v>
      </c>
      <c r="I26" t="str">
        <v xml:space="preserve"> y</v>
      </c>
      <c r="J26" t="str">
        <v>3924923</v>
      </c>
    </row>
    <row r="27" spans="1:10">
      <c r="A27" s="4" t="s">
        <v>40</v>
      </c>
      <c r="B27" t="s">
        <v>41</v>
      </c>
      <c r="C27" t="str" cm="1">
        <f t="array" ref="C27:J27">_xlfn.TEXTSPLIT(A27,{"=",",","=",":"})</f>
        <v>Sensor at x</v>
      </c>
      <c r="D27" t="str">
        <v>3009537</v>
      </c>
      <c r="E27" t="str">
        <v xml:space="preserve"> y</v>
      </c>
      <c r="F27" t="str">
        <v>3292368</v>
      </c>
      <c r="G27" t="str">
        <v xml:space="preserve"> closest beacon is at x</v>
      </c>
      <c r="H27" t="str">
        <v>3184941</v>
      </c>
      <c r="I27" t="str">
        <v xml:space="preserve"> y</v>
      </c>
      <c r="J27" t="str">
        <v>3924923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1E811-B5EB-0F4F-BA66-C16AED328FB5}">
  <sheetPr codeName="Sheet2"/>
  <dimension ref="A1:AQ35"/>
  <sheetViews>
    <sheetView tabSelected="1" workbookViewId="0">
      <selection activeCell="I1" sqref="I1"/>
    </sheetView>
  </sheetViews>
  <sheetFormatPr baseColWidth="10" defaultColWidth="0" defaultRowHeight="15.75"/>
  <cols>
    <col min="1" max="1" width="11" style="5" customWidth="1"/>
    <col min="2" max="2" width="10" style="5" bestFit="1" customWidth="1"/>
    <col min="3" max="3" width="8.125" style="5" bestFit="1" customWidth="1"/>
    <col min="4" max="4" width="2.5" style="5" bestFit="1" customWidth="1"/>
    <col min="5" max="5" width="8.125" style="5" bestFit="1" customWidth="1"/>
    <col min="6" max="6" width="19.125" style="5" bestFit="1" customWidth="1"/>
    <col min="7" max="7" width="8.875" style="5" bestFit="1" customWidth="1"/>
    <col min="8" max="8" width="2.5" style="5" bestFit="1" customWidth="1"/>
    <col min="9" max="15" width="11" style="5" customWidth="1"/>
    <col min="16" max="16" width="2.625" style="5" customWidth="1"/>
    <col min="17" max="43" width="0" style="5" hidden="1"/>
    <col min="44" max="16384" width="11" hidden="1"/>
  </cols>
  <sheetData>
    <row r="1" spans="1:43">
      <c r="A1" s="11" t="s">
        <v>12</v>
      </c>
      <c r="B1" s="11">
        <f>N35</f>
        <v>5147333</v>
      </c>
      <c r="C1"/>
      <c r="D1"/>
      <c r="E1"/>
      <c r="F1"/>
      <c r="G1"/>
      <c r="H1"/>
      <c r="I1"/>
      <c r="J1"/>
      <c r="K1">
        <v>2000000</v>
      </c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</row>
    <row r="2" spans="1:43">
      <c r="E2" s="5" t="s">
        <v>5</v>
      </c>
      <c r="F2" s="5" t="s">
        <v>3</v>
      </c>
      <c r="J2" s="5" t="s">
        <v>8</v>
      </c>
      <c r="M2" s="5" t="s">
        <v>9</v>
      </c>
      <c r="N2" s="5" t="s">
        <v>10</v>
      </c>
      <c r="O2" s="5" t="s">
        <v>11</v>
      </c>
      <c r="Q2" s="14">
        <v>1326566</v>
      </c>
      <c r="R2" s="14">
        <v>2681168</v>
      </c>
      <c r="S2" s="14">
        <v>3959984</v>
      </c>
      <c r="T2" s="14">
        <v>3150886</v>
      </c>
      <c r="U2" s="14">
        <v>3983027</v>
      </c>
      <c r="V2" s="14">
        <v>3371601</v>
      </c>
      <c r="W2" s="14">
        <v>3174612</v>
      </c>
      <c r="X2" s="14">
        <v>3316368</v>
      </c>
      <c r="Y2" s="14">
        <v>3818181</v>
      </c>
      <c r="Z2" s="14">
        <v>3960526</v>
      </c>
      <c r="AA2" s="14">
        <v>61030</v>
      </c>
      <c r="AB2" s="14">
        <v>3635583</v>
      </c>
      <c r="AC2" s="14">
        <v>2813357</v>
      </c>
      <c r="AD2" s="14">
        <v>382745</v>
      </c>
      <c r="AE2" s="14">
        <v>3585664</v>
      </c>
      <c r="AF2" s="14">
        <v>3979654</v>
      </c>
      <c r="AG2" s="14">
        <v>3996588</v>
      </c>
      <c r="AH2" s="14">
        <v>3249383</v>
      </c>
      <c r="AI2" s="14">
        <v>3847114</v>
      </c>
      <c r="AJ2" s="14">
        <v>3668737</v>
      </c>
      <c r="AK2" s="14">
        <v>1761961</v>
      </c>
      <c r="AL2" s="14">
        <v>2556636</v>
      </c>
      <c r="AM2" s="14">
        <v>65365</v>
      </c>
      <c r="AN2" s="14">
        <v>709928</v>
      </c>
      <c r="AO2" s="14">
        <v>3673956</v>
      </c>
      <c r="AP2" s="14">
        <v>3250958</v>
      </c>
      <c r="AQ2" s="14">
        <v>3009537</v>
      </c>
    </row>
    <row r="3" spans="1:43">
      <c r="F3" s="5" t="s">
        <v>4</v>
      </c>
      <c r="Q3" s="14">
        <v>3575946</v>
      </c>
      <c r="R3" s="14">
        <v>3951549</v>
      </c>
      <c r="S3" s="14">
        <v>1095746</v>
      </c>
      <c r="T3" s="14">
        <v>2479946</v>
      </c>
      <c r="U3" s="14">
        <v>2972336</v>
      </c>
      <c r="V3" s="14">
        <v>3853300</v>
      </c>
      <c r="W3" s="14">
        <v>3992719</v>
      </c>
      <c r="X3" s="14">
        <v>1503688</v>
      </c>
      <c r="Y3" s="14">
        <v>2331216</v>
      </c>
      <c r="Z3" s="14">
        <v>3229321</v>
      </c>
      <c r="AA3" s="14">
        <v>3045273</v>
      </c>
      <c r="AB3" s="14">
        <v>3121524</v>
      </c>
      <c r="AC3" s="14">
        <v>5535</v>
      </c>
      <c r="AD3" s="14">
        <v>1566522</v>
      </c>
      <c r="AE3" s="14">
        <v>538632</v>
      </c>
      <c r="AF3" s="14">
        <v>2158646</v>
      </c>
      <c r="AG3" s="14">
        <v>2833167</v>
      </c>
      <c r="AH3" s="14">
        <v>141800</v>
      </c>
      <c r="AI3" s="14">
        <v>225529</v>
      </c>
      <c r="AJ3" s="14">
        <v>3720078</v>
      </c>
      <c r="AK3" s="14">
        <v>680560</v>
      </c>
      <c r="AL3" s="14">
        <v>2213691</v>
      </c>
      <c r="AM3" s="14">
        <v>215977</v>
      </c>
      <c r="AN3" s="14">
        <v>2270200</v>
      </c>
      <c r="AO3" s="14">
        <v>2670437</v>
      </c>
      <c r="AP3" s="14">
        <v>3999227</v>
      </c>
      <c r="AQ3" s="14">
        <v>3292368</v>
      </c>
    </row>
    <row r="4" spans="1:43">
      <c r="B4" s="6" t="s">
        <v>0</v>
      </c>
      <c r="C4" s="5">
        <v>1326566</v>
      </c>
      <c r="D4" s="5" t="s">
        <v>1</v>
      </c>
      <c r="E4" s="5">
        <v>3575946</v>
      </c>
      <c r="F4" s="5" t="s">
        <v>2</v>
      </c>
      <c r="G4" s="5">
        <v>1374835</v>
      </c>
      <c r="H4" s="5" t="s">
        <v>1</v>
      </c>
      <c r="I4" s="5">
        <v>2000000</v>
      </c>
      <c r="J4" s="5">
        <f>ABS(C4-G4)+ABS(E4-I4)</f>
        <v>1624215</v>
      </c>
      <c r="K4" s="9">
        <f t="shared" ref="K4:K9" si="0">IF(ABS($K$1-E4)-J4&lt;0,ABS($K$1-E4),"")</f>
        <v>1575946</v>
      </c>
      <c r="L4" s="9">
        <f>IF(K4&lt;&gt;"",J4-K4,"")</f>
        <v>48269</v>
      </c>
      <c r="M4" s="9">
        <f>IF(K4&lt;&gt;"",C4-L4,0)</f>
        <v>1278297</v>
      </c>
      <c r="N4" s="9">
        <f>IF(K4&lt;&gt;"",C4+L4,0)</f>
        <v>1374835</v>
      </c>
      <c r="O4" s="9">
        <f t="shared" ref="O4:O9" si="1">IF(K4&lt;&gt;"",N4-M4+1,0)</f>
        <v>96539</v>
      </c>
      <c r="Q4" s="14">
        <f>ABS($G4-Q$2)+ABS($I4-Q$3)</f>
        <v>1624215</v>
      </c>
      <c r="R4" s="14">
        <f t="shared" ref="R4:AQ13" si="2">ABS($G4-R$2)+ABS($I4-R$3)</f>
        <v>3257882</v>
      </c>
      <c r="S4" s="14">
        <f t="shared" si="2"/>
        <v>3489403</v>
      </c>
      <c r="T4" s="14">
        <f t="shared" si="2"/>
        <v>2255997</v>
      </c>
      <c r="U4" s="14">
        <f t="shared" si="2"/>
        <v>3580528</v>
      </c>
      <c r="V4" s="14">
        <f t="shared" si="2"/>
        <v>3850066</v>
      </c>
      <c r="W4" s="14">
        <f t="shared" si="2"/>
        <v>3792496</v>
      </c>
      <c r="X4" s="14">
        <f t="shared" si="2"/>
        <v>2437845</v>
      </c>
      <c r="Y4" s="14">
        <f t="shared" si="2"/>
        <v>2774562</v>
      </c>
      <c r="Z4" s="14">
        <f t="shared" si="2"/>
        <v>3815012</v>
      </c>
      <c r="AA4" s="14">
        <f t="shared" si="2"/>
        <v>2359078</v>
      </c>
      <c r="AB4" s="14">
        <f t="shared" si="2"/>
        <v>3382272</v>
      </c>
      <c r="AC4" s="14">
        <f t="shared" si="2"/>
        <v>3432987</v>
      </c>
      <c r="AD4" s="14">
        <f t="shared" si="2"/>
        <v>1425568</v>
      </c>
      <c r="AE4" s="14">
        <f t="shared" si="2"/>
        <v>3672197</v>
      </c>
      <c r="AF4" s="14">
        <f t="shared" si="2"/>
        <v>2763465</v>
      </c>
      <c r="AG4" s="14">
        <f t="shared" si="2"/>
        <v>3454920</v>
      </c>
      <c r="AH4" s="14">
        <f t="shared" si="2"/>
        <v>3732748</v>
      </c>
      <c r="AI4" s="14">
        <f t="shared" si="2"/>
        <v>4246750</v>
      </c>
      <c r="AJ4" s="14">
        <f t="shared" si="2"/>
        <v>4013980</v>
      </c>
      <c r="AK4" s="14">
        <f t="shared" si="2"/>
        <v>1706566</v>
      </c>
      <c r="AL4" s="14">
        <f t="shared" si="2"/>
        <v>1395492</v>
      </c>
      <c r="AM4" s="14">
        <f t="shared" si="2"/>
        <v>3093493</v>
      </c>
      <c r="AN4" s="14">
        <f t="shared" si="2"/>
        <v>935107</v>
      </c>
      <c r="AO4" s="14">
        <f t="shared" si="2"/>
        <v>2969558</v>
      </c>
      <c r="AP4" s="14">
        <f t="shared" si="2"/>
        <v>3875350</v>
      </c>
      <c r="AQ4" s="14">
        <f t="shared" si="2"/>
        <v>2927070</v>
      </c>
    </row>
    <row r="5" spans="1:43">
      <c r="B5" s="6" t="s">
        <v>0</v>
      </c>
      <c r="C5" s="5">
        <v>2681168</v>
      </c>
      <c r="D5" s="5" t="s">
        <v>1</v>
      </c>
      <c r="E5" s="5">
        <v>3951549</v>
      </c>
      <c r="F5" s="5" t="s">
        <v>2</v>
      </c>
      <c r="G5" s="5">
        <v>3184941</v>
      </c>
      <c r="H5" s="5" t="s">
        <v>1</v>
      </c>
      <c r="I5" s="5">
        <v>3924923</v>
      </c>
      <c r="J5" s="5">
        <f t="shared" ref="J5:J30" si="3">ABS(C5-G5)+ABS(E5-I5)</f>
        <v>530399</v>
      </c>
      <c r="K5" s="9" t="str">
        <f t="shared" si="0"/>
        <v/>
      </c>
      <c r="L5" s="9" t="str">
        <f t="shared" ref="L5:L30" si="4">IF(K5&lt;&gt;"",J5-K5,"")</f>
        <v/>
      </c>
      <c r="M5" s="9">
        <f t="shared" ref="M5:M30" si="5">IF(K5&lt;&gt;"",C5-L5,0)</f>
        <v>0</v>
      </c>
      <c r="N5" s="9">
        <f t="shared" ref="N5:N30" si="6">IF(K5&lt;&gt;"",C5+L5,0)</f>
        <v>0</v>
      </c>
      <c r="O5" s="9">
        <f t="shared" si="1"/>
        <v>0</v>
      </c>
      <c r="Q5" s="14">
        <f t="shared" ref="Q5:AF28" si="7">ABS($G5-Q$2)+ABS($I5-Q$3)</f>
        <v>2207352</v>
      </c>
      <c r="R5" s="14">
        <f t="shared" si="7"/>
        <v>530399</v>
      </c>
      <c r="S5" s="14">
        <f t="shared" si="7"/>
        <v>3604220</v>
      </c>
      <c r="T5" s="14">
        <f t="shared" si="7"/>
        <v>1479032</v>
      </c>
      <c r="U5" s="14">
        <f t="shared" si="7"/>
        <v>1750673</v>
      </c>
      <c r="V5" s="14">
        <f t="shared" si="7"/>
        <v>258283</v>
      </c>
      <c r="W5" s="14">
        <f t="shared" si="7"/>
        <v>78125</v>
      </c>
      <c r="X5" s="14">
        <f t="shared" si="7"/>
        <v>2552662</v>
      </c>
      <c r="Y5" s="14">
        <f t="shared" si="7"/>
        <v>2226947</v>
      </c>
      <c r="Z5" s="14">
        <f t="shared" si="7"/>
        <v>1471187</v>
      </c>
      <c r="AA5" s="14">
        <f t="shared" si="7"/>
        <v>4003561</v>
      </c>
      <c r="AB5" s="14">
        <f t="shared" si="7"/>
        <v>1254041</v>
      </c>
      <c r="AC5" s="14">
        <f t="shared" si="7"/>
        <v>4290972</v>
      </c>
      <c r="AD5" s="14">
        <f t="shared" si="7"/>
        <v>5160597</v>
      </c>
      <c r="AE5" s="14">
        <f t="shared" si="7"/>
        <v>3787014</v>
      </c>
      <c r="AF5" s="14">
        <f t="shared" si="7"/>
        <v>2560990</v>
      </c>
      <c r="AG5" s="14">
        <f t="shared" si="2"/>
        <v>1903403</v>
      </c>
      <c r="AH5" s="14">
        <f t="shared" si="2"/>
        <v>3847565</v>
      </c>
      <c r="AI5" s="14">
        <f t="shared" si="2"/>
        <v>4361567</v>
      </c>
      <c r="AJ5" s="14">
        <f t="shared" si="2"/>
        <v>688641</v>
      </c>
      <c r="AK5" s="14">
        <f t="shared" si="2"/>
        <v>4667343</v>
      </c>
      <c r="AL5" s="14">
        <f t="shared" si="2"/>
        <v>2339537</v>
      </c>
      <c r="AM5" s="14">
        <f t="shared" si="2"/>
        <v>6828522</v>
      </c>
      <c r="AN5" s="14">
        <f t="shared" si="2"/>
        <v>4129736</v>
      </c>
      <c r="AO5" s="14">
        <f t="shared" si="2"/>
        <v>1743501</v>
      </c>
      <c r="AP5" s="14">
        <f t="shared" si="2"/>
        <v>140321</v>
      </c>
      <c r="AQ5" s="14">
        <f t="shared" si="2"/>
        <v>807959</v>
      </c>
    </row>
    <row r="6" spans="1:43">
      <c r="B6" s="6" t="s">
        <v>0</v>
      </c>
      <c r="C6" s="5">
        <v>3959984</v>
      </c>
      <c r="D6" s="5" t="s">
        <v>1</v>
      </c>
      <c r="E6" s="5">
        <v>1095746</v>
      </c>
      <c r="F6" s="5" t="s">
        <v>2</v>
      </c>
      <c r="G6" s="5">
        <v>3621412</v>
      </c>
      <c r="H6" s="5" t="s">
        <v>1</v>
      </c>
      <c r="I6" s="5">
        <v>2239432</v>
      </c>
      <c r="J6" s="5">
        <f t="shared" si="3"/>
        <v>1482258</v>
      </c>
      <c r="K6" s="9">
        <f t="shared" si="0"/>
        <v>904254</v>
      </c>
      <c r="L6" s="9">
        <f t="shared" si="4"/>
        <v>578004</v>
      </c>
      <c r="M6" s="9">
        <f t="shared" si="5"/>
        <v>3381980</v>
      </c>
      <c r="N6" s="9">
        <f t="shared" si="6"/>
        <v>4537988</v>
      </c>
      <c r="O6" s="9">
        <f t="shared" si="1"/>
        <v>1156009</v>
      </c>
      <c r="Q6" s="14">
        <f t="shared" si="7"/>
        <v>3631360</v>
      </c>
      <c r="R6" s="14">
        <f t="shared" si="2"/>
        <v>2652361</v>
      </c>
      <c r="S6" s="14">
        <f t="shared" si="2"/>
        <v>1482258</v>
      </c>
      <c r="T6" s="14">
        <f t="shared" si="2"/>
        <v>711040</v>
      </c>
      <c r="U6" s="14">
        <f t="shared" si="2"/>
        <v>1094519</v>
      </c>
      <c r="V6" s="14">
        <f t="shared" si="2"/>
        <v>1863679</v>
      </c>
      <c r="W6" s="14">
        <f t="shared" si="2"/>
        <v>2200087</v>
      </c>
      <c r="X6" s="14">
        <f t="shared" si="2"/>
        <v>1040788</v>
      </c>
      <c r="Y6" s="14">
        <f t="shared" si="2"/>
        <v>288553</v>
      </c>
      <c r="Z6" s="14">
        <f t="shared" si="2"/>
        <v>1329003</v>
      </c>
      <c r="AA6" s="14">
        <f t="shared" si="2"/>
        <v>4366223</v>
      </c>
      <c r="AB6" s="14">
        <f t="shared" si="2"/>
        <v>896263</v>
      </c>
      <c r="AC6" s="14">
        <f t="shared" si="2"/>
        <v>3041952</v>
      </c>
      <c r="AD6" s="14">
        <f t="shared" si="2"/>
        <v>3911577</v>
      </c>
      <c r="AE6" s="14">
        <f t="shared" si="2"/>
        <v>1736548</v>
      </c>
      <c r="AF6" s="14">
        <f t="shared" si="2"/>
        <v>439028</v>
      </c>
      <c r="AG6" s="14">
        <f t="shared" si="2"/>
        <v>968911</v>
      </c>
      <c r="AH6" s="14">
        <f t="shared" si="2"/>
        <v>2469661</v>
      </c>
      <c r="AI6" s="14">
        <f t="shared" si="2"/>
        <v>2239605</v>
      </c>
      <c r="AJ6" s="14">
        <f t="shared" si="2"/>
        <v>1527971</v>
      </c>
      <c r="AK6" s="14">
        <f t="shared" si="2"/>
        <v>3418323</v>
      </c>
      <c r="AL6" s="14">
        <f t="shared" si="2"/>
        <v>1090517</v>
      </c>
      <c r="AM6" s="14">
        <f t="shared" si="2"/>
        <v>5579502</v>
      </c>
      <c r="AN6" s="14">
        <f t="shared" si="2"/>
        <v>2942252</v>
      </c>
      <c r="AO6" s="14">
        <f t="shared" si="2"/>
        <v>483549</v>
      </c>
      <c r="AP6" s="14">
        <f t="shared" si="2"/>
        <v>2130249</v>
      </c>
      <c r="AQ6" s="14">
        <f t="shared" si="2"/>
        <v>1664811</v>
      </c>
    </row>
    <row r="7" spans="1:43">
      <c r="B7" s="6" t="s">
        <v>0</v>
      </c>
      <c r="C7" s="5">
        <v>3150886</v>
      </c>
      <c r="D7" s="5" t="s">
        <v>1</v>
      </c>
      <c r="E7" s="5">
        <v>2479946</v>
      </c>
      <c r="F7" s="5" t="s">
        <v>2</v>
      </c>
      <c r="G7" s="5">
        <v>3621412</v>
      </c>
      <c r="H7" s="5" t="s">
        <v>1</v>
      </c>
      <c r="I7" s="5">
        <v>2239432</v>
      </c>
      <c r="J7" s="5">
        <f t="shared" si="3"/>
        <v>711040</v>
      </c>
      <c r="K7" s="9">
        <f t="shared" si="0"/>
        <v>479946</v>
      </c>
      <c r="L7" s="9">
        <f t="shared" si="4"/>
        <v>231094</v>
      </c>
      <c r="M7" s="9">
        <f t="shared" si="5"/>
        <v>2919792</v>
      </c>
      <c r="N7" s="9">
        <f t="shared" si="6"/>
        <v>3381980</v>
      </c>
      <c r="O7" s="9">
        <f t="shared" si="1"/>
        <v>462189</v>
      </c>
      <c r="Q7" s="14">
        <f t="shared" si="7"/>
        <v>3631360</v>
      </c>
      <c r="R7" s="14">
        <f t="shared" si="2"/>
        <v>2652361</v>
      </c>
      <c r="S7" s="14">
        <f t="shared" si="2"/>
        <v>1482258</v>
      </c>
      <c r="T7" s="14">
        <f t="shared" si="2"/>
        <v>711040</v>
      </c>
      <c r="U7" s="14">
        <f t="shared" si="2"/>
        <v>1094519</v>
      </c>
      <c r="V7" s="14">
        <f t="shared" si="2"/>
        <v>1863679</v>
      </c>
      <c r="W7" s="14">
        <f t="shared" si="2"/>
        <v>2200087</v>
      </c>
      <c r="X7" s="14">
        <f t="shared" si="2"/>
        <v>1040788</v>
      </c>
      <c r="Y7" s="14">
        <f t="shared" si="2"/>
        <v>288553</v>
      </c>
      <c r="Z7" s="14">
        <f t="shared" si="2"/>
        <v>1329003</v>
      </c>
      <c r="AA7" s="14">
        <f t="shared" si="2"/>
        <v>4366223</v>
      </c>
      <c r="AB7" s="14">
        <f t="shared" si="2"/>
        <v>896263</v>
      </c>
      <c r="AC7" s="14">
        <f t="shared" si="2"/>
        <v>3041952</v>
      </c>
      <c r="AD7" s="14">
        <f t="shared" si="2"/>
        <v>3911577</v>
      </c>
      <c r="AE7" s="14">
        <f t="shared" si="2"/>
        <v>1736548</v>
      </c>
      <c r="AF7" s="14">
        <f t="shared" si="2"/>
        <v>439028</v>
      </c>
      <c r="AG7" s="14">
        <f t="shared" si="2"/>
        <v>968911</v>
      </c>
      <c r="AH7" s="14">
        <f t="shared" si="2"/>
        <v>2469661</v>
      </c>
      <c r="AI7" s="14">
        <f t="shared" si="2"/>
        <v>2239605</v>
      </c>
      <c r="AJ7" s="14">
        <f t="shared" si="2"/>
        <v>1527971</v>
      </c>
      <c r="AK7" s="14">
        <f t="shared" si="2"/>
        <v>3418323</v>
      </c>
      <c r="AL7" s="14">
        <f t="shared" si="2"/>
        <v>1090517</v>
      </c>
      <c r="AM7" s="14">
        <f t="shared" si="2"/>
        <v>5579502</v>
      </c>
      <c r="AN7" s="14">
        <f t="shared" si="2"/>
        <v>2942252</v>
      </c>
      <c r="AO7" s="14">
        <f t="shared" si="2"/>
        <v>483549</v>
      </c>
      <c r="AP7" s="14">
        <f t="shared" si="2"/>
        <v>2130249</v>
      </c>
      <c r="AQ7" s="14">
        <f t="shared" si="2"/>
        <v>1664811</v>
      </c>
    </row>
    <row r="8" spans="1:43">
      <c r="B8" s="6" t="s">
        <v>0</v>
      </c>
      <c r="C8" s="5">
        <v>3983027</v>
      </c>
      <c r="D8" s="5" t="s">
        <v>1</v>
      </c>
      <c r="E8" s="5">
        <v>2972336</v>
      </c>
      <c r="F8" s="5" t="s">
        <v>2</v>
      </c>
      <c r="G8" s="5">
        <v>4012908</v>
      </c>
      <c r="H8" s="5" t="s">
        <v>1</v>
      </c>
      <c r="I8" s="5">
        <v>3083616</v>
      </c>
      <c r="J8" s="5">
        <f t="shared" si="3"/>
        <v>141161</v>
      </c>
      <c r="K8" s="9" t="str">
        <f t="shared" si="0"/>
        <v/>
      </c>
      <c r="L8" s="9" t="str">
        <f t="shared" si="4"/>
        <v/>
      </c>
      <c r="M8" s="9">
        <f t="shared" si="5"/>
        <v>0</v>
      </c>
      <c r="N8" s="9">
        <f t="shared" si="6"/>
        <v>0</v>
      </c>
      <c r="O8" s="9">
        <f t="shared" si="1"/>
        <v>0</v>
      </c>
      <c r="Q8" s="14">
        <f t="shared" si="7"/>
        <v>3178672</v>
      </c>
      <c r="R8" s="14">
        <f t="shared" si="2"/>
        <v>2199673</v>
      </c>
      <c r="S8" s="14">
        <f t="shared" si="2"/>
        <v>2040794</v>
      </c>
      <c r="T8" s="14">
        <f t="shared" si="2"/>
        <v>1465692</v>
      </c>
      <c r="U8" s="14">
        <f t="shared" si="2"/>
        <v>141161</v>
      </c>
      <c r="V8" s="14">
        <f t="shared" si="2"/>
        <v>1410991</v>
      </c>
      <c r="W8" s="14">
        <f t="shared" si="2"/>
        <v>1747399</v>
      </c>
      <c r="X8" s="14">
        <f t="shared" si="2"/>
        <v>2276468</v>
      </c>
      <c r="Y8" s="14">
        <f t="shared" si="2"/>
        <v>947127</v>
      </c>
      <c r="Z8" s="14">
        <f t="shared" si="2"/>
        <v>198087</v>
      </c>
      <c r="AA8" s="14">
        <f t="shared" si="2"/>
        <v>3990221</v>
      </c>
      <c r="AB8" s="14">
        <f t="shared" si="2"/>
        <v>415233</v>
      </c>
      <c r="AC8" s="14">
        <f t="shared" si="2"/>
        <v>4277632</v>
      </c>
      <c r="AD8" s="14">
        <f t="shared" si="2"/>
        <v>5147257</v>
      </c>
      <c r="AE8" s="14">
        <f t="shared" si="2"/>
        <v>2972228</v>
      </c>
      <c r="AF8" s="14">
        <f t="shared" si="2"/>
        <v>958224</v>
      </c>
      <c r="AG8" s="14">
        <f t="shared" si="2"/>
        <v>266769</v>
      </c>
      <c r="AH8" s="14">
        <f t="shared" si="2"/>
        <v>3705341</v>
      </c>
      <c r="AI8" s="14">
        <f t="shared" si="2"/>
        <v>3023881</v>
      </c>
      <c r="AJ8" s="14">
        <f t="shared" si="2"/>
        <v>980633</v>
      </c>
      <c r="AK8" s="14">
        <f t="shared" si="2"/>
        <v>4654003</v>
      </c>
      <c r="AL8" s="14">
        <f t="shared" si="2"/>
        <v>2326197</v>
      </c>
      <c r="AM8" s="14">
        <f t="shared" si="2"/>
        <v>6815182</v>
      </c>
      <c r="AN8" s="14">
        <f t="shared" si="2"/>
        <v>4116396</v>
      </c>
      <c r="AO8" s="14">
        <f t="shared" si="2"/>
        <v>752131</v>
      </c>
      <c r="AP8" s="14">
        <f t="shared" si="2"/>
        <v>1677561</v>
      </c>
      <c r="AQ8" s="14">
        <f t="shared" si="2"/>
        <v>1212123</v>
      </c>
    </row>
    <row r="9" spans="1:43">
      <c r="B9" s="6" t="s">
        <v>0</v>
      </c>
      <c r="C9" s="5">
        <v>3371601</v>
      </c>
      <c r="D9" s="5" t="s">
        <v>1</v>
      </c>
      <c r="E9" s="5">
        <v>3853300</v>
      </c>
      <c r="F9" s="5" t="s">
        <v>2</v>
      </c>
      <c r="G9" s="5">
        <v>3184941</v>
      </c>
      <c r="H9" s="5" t="s">
        <v>1</v>
      </c>
      <c r="I9" s="5">
        <v>3924923</v>
      </c>
      <c r="J9" s="5">
        <f t="shared" si="3"/>
        <v>258283</v>
      </c>
      <c r="K9" s="9" t="str">
        <f t="shared" si="0"/>
        <v/>
      </c>
      <c r="L9" s="9" t="str">
        <f t="shared" si="4"/>
        <v/>
      </c>
      <c r="M9" s="9">
        <f t="shared" si="5"/>
        <v>0</v>
      </c>
      <c r="N9" s="9">
        <f t="shared" si="6"/>
        <v>0</v>
      </c>
      <c r="O9" s="9">
        <f t="shared" si="1"/>
        <v>0</v>
      </c>
      <c r="Q9" s="14">
        <f t="shared" si="7"/>
        <v>2207352</v>
      </c>
      <c r="R9" s="14">
        <f t="shared" si="2"/>
        <v>530399</v>
      </c>
      <c r="S9" s="14">
        <f t="shared" si="2"/>
        <v>3604220</v>
      </c>
      <c r="T9" s="14">
        <f t="shared" si="2"/>
        <v>1479032</v>
      </c>
      <c r="U9" s="14">
        <f t="shared" si="2"/>
        <v>1750673</v>
      </c>
      <c r="V9" s="14">
        <f t="shared" si="2"/>
        <v>258283</v>
      </c>
      <c r="W9" s="14">
        <f t="shared" si="2"/>
        <v>78125</v>
      </c>
      <c r="X9" s="14">
        <f t="shared" si="2"/>
        <v>2552662</v>
      </c>
      <c r="Y9" s="14">
        <f t="shared" si="2"/>
        <v>2226947</v>
      </c>
      <c r="Z9" s="14">
        <f t="shared" si="2"/>
        <v>1471187</v>
      </c>
      <c r="AA9" s="14">
        <f t="shared" si="2"/>
        <v>4003561</v>
      </c>
      <c r="AB9" s="14">
        <f t="shared" si="2"/>
        <v>1254041</v>
      </c>
      <c r="AC9" s="14">
        <f t="shared" si="2"/>
        <v>4290972</v>
      </c>
      <c r="AD9" s="14">
        <f t="shared" si="2"/>
        <v>5160597</v>
      </c>
      <c r="AE9" s="14">
        <f t="shared" si="2"/>
        <v>3787014</v>
      </c>
      <c r="AF9" s="14">
        <f t="shared" si="2"/>
        <v>2560990</v>
      </c>
      <c r="AG9" s="14">
        <f t="shared" si="2"/>
        <v>1903403</v>
      </c>
      <c r="AH9" s="14">
        <f t="shared" si="2"/>
        <v>3847565</v>
      </c>
      <c r="AI9" s="14">
        <f t="shared" si="2"/>
        <v>4361567</v>
      </c>
      <c r="AJ9" s="14">
        <f t="shared" si="2"/>
        <v>688641</v>
      </c>
      <c r="AK9" s="14">
        <f t="shared" si="2"/>
        <v>4667343</v>
      </c>
      <c r="AL9" s="14">
        <f t="shared" si="2"/>
        <v>2339537</v>
      </c>
      <c r="AM9" s="14">
        <f t="shared" si="2"/>
        <v>6828522</v>
      </c>
      <c r="AN9" s="14">
        <f t="shared" si="2"/>
        <v>4129736</v>
      </c>
      <c r="AO9" s="14">
        <f t="shared" si="2"/>
        <v>1743501</v>
      </c>
      <c r="AP9" s="14">
        <f t="shared" si="2"/>
        <v>140321</v>
      </c>
      <c r="AQ9" s="14">
        <f t="shared" si="2"/>
        <v>807959</v>
      </c>
    </row>
    <row r="10" spans="1:43" s="7" customFormat="1">
      <c r="B10" s="6" t="s">
        <v>0</v>
      </c>
      <c r="C10" s="5">
        <v>3174612</v>
      </c>
      <c r="D10" s="5" t="s">
        <v>1</v>
      </c>
      <c r="E10" s="5">
        <v>3992719</v>
      </c>
      <c r="F10" s="5" t="s">
        <v>2</v>
      </c>
      <c r="G10" s="5">
        <v>3184941</v>
      </c>
      <c r="H10" s="5" t="s">
        <v>1</v>
      </c>
      <c r="I10" s="5">
        <v>3924923</v>
      </c>
      <c r="J10" s="9">
        <f t="shared" si="3"/>
        <v>78125</v>
      </c>
      <c r="K10" s="9" t="str">
        <f t="shared" ref="K10:K16" si="8">IF(ABS($K$1-E10)-J10&lt;0,ABS($K$1-E10),"")</f>
        <v/>
      </c>
      <c r="L10" s="9" t="str">
        <f t="shared" si="4"/>
        <v/>
      </c>
      <c r="M10" s="9">
        <f t="shared" si="5"/>
        <v>0</v>
      </c>
      <c r="N10" s="9">
        <f t="shared" si="6"/>
        <v>0</v>
      </c>
      <c r="O10" s="9">
        <f t="shared" ref="O10:O16" si="9">IF(K10&lt;&gt;"",N10-M10+1,0)</f>
        <v>0</v>
      </c>
      <c r="Q10" s="9">
        <f t="shared" si="7"/>
        <v>2207352</v>
      </c>
      <c r="R10" s="9">
        <f t="shared" si="2"/>
        <v>530399</v>
      </c>
      <c r="S10" s="9">
        <f t="shared" si="2"/>
        <v>3604220</v>
      </c>
      <c r="T10" s="9">
        <f t="shared" si="2"/>
        <v>1479032</v>
      </c>
      <c r="U10" s="9">
        <f t="shared" si="2"/>
        <v>1750673</v>
      </c>
      <c r="V10" s="9">
        <f t="shared" si="2"/>
        <v>258283</v>
      </c>
      <c r="W10" s="9">
        <f t="shared" si="2"/>
        <v>78125</v>
      </c>
      <c r="X10" s="9">
        <f t="shared" si="2"/>
        <v>2552662</v>
      </c>
      <c r="Y10" s="9">
        <f t="shared" si="2"/>
        <v>2226947</v>
      </c>
      <c r="Z10" s="9">
        <f t="shared" si="2"/>
        <v>1471187</v>
      </c>
      <c r="AA10" s="9">
        <f t="shared" si="2"/>
        <v>4003561</v>
      </c>
      <c r="AB10" s="9">
        <f t="shared" si="2"/>
        <v>1254041</v>
      </c>
      <c r="AC10" s="9">
        <f t="shared" si="2"/>
        <v>4290972</v>
      </c>
      <c r="AD10" s="9">
        <f t="shared" si="2"/>
        <v>5160597</v>
      </c>
      <c r="AE10" s="9">
        <f t="shared" si="2"/>
        <v>3787014</v>
      </c>
      <c r="AF10" s="9">
        <f t="shared" si="2"/>
        <v>2560990</v>
      </c>
      <c r="AG10" s="9">
        <f t="shared" si="2"/>
        <v>1903403</v>
      </c>
      <c r="AH10" s="9">
        <f t="shared" si="2"/>
        <v>3847565</v>
      </c>
      <c r="AI10" s="9">
        <f t="shared" si="2"/>
        <v>4361567</v>
      </c>
      <c r="AJ10" s="9">
        <f t="shared" si="2"/>
        <v>688641</v>
      </c>
      <c r="AK10" s="9">
        <f t="shared" si="2"/>
        <v>4667343</v>
      </c>
      <c r="AL10" s="9">
        <f t="shared" si="2"/>
        <v>2339537</v>
      </c>
      <c r="AM10" s="9">
        <f t="shared" si="2"/>
        <v>6828522</v>
      </c>
      <c r="AN10" s="9">
        <f t="shared" si="2"/>
        <v>4129736</v>
      </c>
      <c r="AO10" s="9">
        <f t="shared" si="2"/>
        <v>1743501</v>
      </c>
      <c r="AP10" s="9">
        <f t="shared" si="2"/>
        <v>140321</v>
      </c>
      <c r="AQ10" s="9">
        <f t="shared" si="2"/>
        <v>807959</v>
      </c>
    </row>
    <row r="11" spans="1:43">
      <c r="B11" s="6" t="s">
        <v>0</v>
      </c>
      <c r="C11" s="5">
        <v>3316368</v>
      </c>
      <c r="D11" s="5" t="s">
        <v>1</v>
      </c>
      <c r="E11" s="5">
        <v>1503688</v>
      </c>
      <c r="F11" s="5" t="s">
        <v>2</v>
      </c>
      <c r="G11" s="5">
        <v>3621412</v>
      </c>
      <c r="H11" s="5" t="s">
        <v>1</v>
      </c>
      <c r="I11" s="5">
        <v>2239432</v>
      </c>
      <c r="J11" s="5">
        <f t="shared" si="3"/>
        <v>1040788</v>
      </c>
      <c r="K11" s="9">
        <f t="shared" si="8"/>
        <v>496312</v>
      </c>
      <c r="L11" s="9">
        <f t="shared" si="4"/>
        <v>544476</v>
      </c>
      <c r="M11" s="9">
        <f t="shared" si="5"/>
        <v>2771892</v>
      </c>
      <c r="N11" s="9">
        <f t="shared" si="6"/>
        <v>3860844</v>
      </c>
      <c r="O11" s="9">
        <f t="shared" si="9"/>
        <v>1088953</v>
      </c>
      <c r="Q11" s="14">
        <f t="shared" si="7"/>
        <v>3631360</v>
      </c>
      <c r="R11" s="14">
        <f t="shared" si="2"/>
        <v>2652361</v>
      </c>
      <c r="S11" s="14">
        <f t="shared" si="2"/>
        <v>1482258</v>
      </c>
      <c r="T11" s="14">
        <f t="shared" si="2"/>
        <v>711040</v>
      </c>
      <c r="U11" s="14">
        <f t="shared" si="2"/>
        <v>1094519</v>
      </c>
      <c r="V11" s="14">
        <f t="shared" si="2"/>
        <v>1863679</v>
      </c>
      <c r="W11" s="14">
        <f t="shared" si="2"/>
        <v>2200087</v>
      </c>
      <c r="X11" s="14">
        <f t="shared" si="2"/>
        <v>1040788</v>
      </c>
      <c r="Y11" s="14">
        <f t="shared" si="2"/>
        <v>288553</v>
      </c>
      <c r="Z11" s="14">
        <f t="shared" si="2"/>
        <v>1329003</v>
      </c>
      <c r="AA11" s="14">
        <f t="shared" si="2"/>
        <v>4366223</v>
      </c>
      <c r="AB11" s="14">
        <f t="shared" si="2"/>
        <v>896263</v>
      </c>
      <c r="AC11" s="14">
        <f t="shared" si="2"/>
        <v>3041952</v>
      </c>
      <c r="AD11" s="14">
        <f t="shared" si="2"/>
        <v>3911577</v>
      </c>
      <c r="AE11" s="14">
        <f t="shared" si="2"/>
        <v>1736548</v>
      </c>
      <c r="AF11" s="14">
        <f t="shared" si="2"/>
        <v>439028</v>
      </c>
      <c r="AG11" s="14">
        <f t="shared" si="2"/>
        <v>968911</v>
      </c>
      <c r="AH11" s="14">
        <f t="shared" si="2"/>
        <v>2469661</v>
      </c>
      <c r="AI11" s="14">
        <f t="shared" si="2"/>
        <v>2239605</v>
      </c>
      <c r="AJ11" s="14">
        <f t="shared" si="2"/>
        <v>1527971</v>
      </c>
      <c r="AK11" s="14">
        <f t="shared" si="2"/>
        <v>3418323</v>
      </c>
      <c r="AL11" s="14">
        <f t="shared" si="2"/>
        <v>1090517</v>
      </c>
      <c r="AM11" s="14">
        <f t="shared" si="2"/>
        <v>5579502</v>
      </c>
      <c r="AN11" s="14">
        <f t="shared" si="2"/>
        <v>2942252</v>
      </c>
      <c r="AO11" s="14">
        <f t="shared" si="2"/>
        <v>483549</v>
      </c>
      <c r="AP11" s="14">
        <f t="shared" si="2"/>
        <v>2130249</v>
      </c>
      <c r="AQ11" s="14">
        <f t="shared" si="2"/>
        <v>1664811</v>
      </c>
    </row>
    <row r="12" spans="1:43">
      <c r="B12" s="6" t="s">
        <v>0</v>
      </c>
      <c r="C12" s="5">
        <v>3818181</v>
      </c>
      <c r="D12" s="5" t="s">
        <v>1</v>
      </c>
      <c r="E12" s="5">
        <v>2331216</v>
      </c>
      <c r="F12" s="5" t="s">
        <v>2</v>
      </c>
      <c r="G12" s="5">
        <v>3621412</v>
      </c>
      <c r="H12" s="5" t="s">
        <v>1</v>
      </c>
      <c r="I12" s="5">
        <v>2239432</v>
      </c>
      <c r="J12" s="5">
        <f t="shared" si="3"/>
        <v>288553</v>
      </c>
      <c r="K12" s="9" t="str">
        <f t="shared" si="8"/>
        <v/>
      </c>
      <c r="L12" s="9" t="str">
        <f t="shared" si="4"/>
        <v/>
      </c>
      <c r="M12" s="9">
        <f t="shared" si="5"/>
        <v>0</v>
      </c>
      <c r="N12" s="9">
        <f t="shared" si="6"/>
        <v>0</v>
      </c>
      <c r="O12" s="9">
        <f t="shared" si="9"/>
        <v>0</v>
      </c>
      <c r="Q12" s="14">
        <f t="shared" si="7"/>
        <v>3631360</v>
      </c>
      <c r="R12" s="14">
        <f t="shared" si="2"/>
        <v>2652361</v>
      </c>
      <c r="S12" s="14">
        <f t="shared" si="2"/>
        <v>1482258</v>
      </c>
      <c r="T12" s="14">
        <f t="shared" si="2"/>
        <v>711040</v>
      </c>
      <c r="U12" s="14">
        <f t="shared" si="2"/>
        <v>1094519</v>
      </c>
      <c r="V12" s="14">
        <f t="shared" si="2"/>
        <v>1863679</v>
      </c>
      <c r="W12" s="14">
        <f t="shared" si="2"/>
        <v>2200087</v>
      </c>
      <c r="X12" s="14">
        <f t="shared" si="2"/>
        <v>1040788</v>
      </c>
      <c r="Y12" s="14">
        <f t="shared" si="2"/>
        <v>288553</v>
      </c>
      <c r="Z12" s="14">
        <f t="shared" si="2"/>
        <v>1329003</v>
      </c>
      <c r="AA12" s="14">
        <f t="shared" si="2"/>
        <v>4366223</v>
      </c>
      <c r="AB12" s="14">
        <f t="shared" si="2"/>
        <v>896263</v>
      </c>
      <c r="AC12" s="14">
        <f t="shared" si="2"/>
        <v>3041952</v>
      </c>
      <c r="AD12" s="14">
        <f t="shared" si="2"/>
        <v>3911577</v>
      </c>
      <c r="AE12" s="14">
        <f t="shared" si="2"/>
        <v>1736548</v>
      </c>
      <c r="AF12" s="14">
        <f t="shared" si="2"/>
        <v>439028</v>
      </c>
      <c r="AG12" s="14">
        <f t="shared" si="2"/>
        <v>968911</v>
      </c>
      <c r="AH12" s="14">
        <f t="shared" si="2"/>
        <v>2469661</v>
      </c>
      <c r="AI12" s="14">
        <f t="shared" si="2"/>
        <v>2239605</v>
      </c>
      <c r="AJ12" s="14">
        <f t="shared" si="2"/>
        <v>1527971</v>
      </c>
      <c r="AK12" s="14">
        <f t="shared" si="2"/>
        <v>3418323</v>
      </c>
      <c r="AL12" s="14">
        <f t="shared" si="2"/>
        <v>1090517</v>
      </c>
      <c r="AM12" s="14">
        <f t="shared" si="2"/>
        <v>5579502</v>
      </c>
      <c r="AN12" s="14">
        <f t="shared" si="2"/>
        <v>2942252</v>
      </c>
      <c r="AO12" s="14">
        <f t="shared" si="2"/>
        <v>483549</v>
      </c>
      <c r="AP12" s="14">
        <f t="shared" si="2"/>
        <v>2130249</v>
      </c>
      <c r="AQ12" s="14">
        <f t="shared" si="2"/>
        <v>1664811</v>
      </c>
    </row>
    <row r="13" spans="1:43">
      <c r="B13" s="6" t="s">
        <v>0</v>
      </c>
      <c r="C13" s="5">
        <v>3960526</v>
      </c>
      <c r="D13" s="5" t="s">
        <v>1</v>
      </c>
      <c r="E13" s="5">
        <v>3229321</v>
      </c>
      <c r="F13" s="5" t="s">
        <v>2</v>
      </c>
      <c r="G13" s="5">
        <v>4012908</v>
      </c>
      <c r="H13" s="5" t="s">
        <v>1</v>
      </c>
      <c r="I13" s="5">
        <v>3083616</v>
      </c>
      <c r="J13" s="5">
        <f t="shared" si="3"/>
        <v>198087</v>
      </c>
      <c r="K13" s="9" t="str">
        <f t="shared" si="8"/>
        <v/>
      </c>
      <c r="L13" s="9" t="str">
        <f t="shared" si="4"/>
        <v/>
      </c>
      <c r="M13" s="9">
        <f t="shared" si="5"/>
        <v>0</v>
      </c>
      <c r="N13" s="9">
        <f t="shared" si="6"/>
        <v>0</v>
      </c>
      <c r="O13" s="9">
        <f t="shared" si="9"/>
        <v>0</v>
      </c>
      <c r="Q13" s="14">
        <f t="shared" si="7"/>
        <v>3178672</v>
      </c>
      <c r="R13" s="14">
        <f t="shared" si="2"/>
        <v>2199673</v>
      </c>
      <c r="S13" s="14">
        <f t="shared" si="2"/>
        <v>2040794</v>
      </c>
      <c r="T13" s="14">
        <f t="shared" si="2"/>
        <v>1465692</v>
      </c>
      <c r="U13" s="14">
        <f t="shared" si="2"/>
        <v>141161</v>
      </c>
      <c r="V13" s="14">
        <f t="shared" si="2"/>
        <v>1410991</v>
      </c>
      <c r="W13" s="14">
        <f t="shared" si="2"/>
        <v>1747399</v>
      </c>
      <c r="X13" s="14">
        <f t="shared" si="2"/>
        <v>2276468</v>
      </c>
      <c r="Y13" s="14">
        <f t="shared" si="2"/>
        <v>947127</v>
      </c>
      <c r="Z13" s="14">
        <f t="shared" si="2"/>
        <v>198087</v>
      </c>
      <c r="AA13" s="14">
        <f t="shared" si="2"/>
        <v>3990221</v>
      </c>
      <c r="AB13" s="14">
        <f t="shared" si="2"/>
        <v>415233</v>
      </c>
      <c r="AC13" s="14">
        <f t="shared" si="2"/>
        <v>4277632</v>
      </c>
      <c r="AD13" s="14">
        <f t="shared" si="2"/>
        <v>5147257</v>
      </c>
      <c r="AE13" s="14">
        <f t="shared" si="2"/>
        <v>2972228</v>
      </c>
      <c r="AF13" s="14">
        <f t="shared" si="2"/>
        <v>958224</v>
      </c>
      <c r="AG13" s="14">
        <f t="shared" si="2"/>
        <v>266769</v>
      </c>
      <c r="AH13" s="14">
        <f t="shared" si="2"/>
        <v>3705341</v>
      </c>
      <c r="AI13" s="14">
        <f t="shared" si="2"/>
        <v>3023881</v>
      </c>
      <c r="AJ13" s="14">
        <f t="shared" si="2"/>
        <v>980633</v>
      </c>
      <c r="AK13" s="14">
        <f t="shared" si="2"/>
        <v>4654003</v>
      </c>
      <c r="AL13" s="14">
        <f t="shared" si="2"/>
        <v>2326197</v>
      </c>
      <c r="AM13" s="14">
        <f t="shared" si="2"/>
        <v>6815182</v>
      </c>
      <c r="AN13" s="14">
        <f t="shared" si="2"/>
        <v>4116396</v>
      </c>
      <c r="AO13" s="14">
        <f t="shared" si="2"/>
        <v>752131</v>
      </c>
      <c r="AP13" s="14">
        <f t="shared" si="2"/>
        <v>1677561</v>
      </c>
      <c r="AQ13" s="14">
        <f t="shared" si="2"/>
        <v>1212123</v>
      </c>
    </row>
    <row r="14" spans="1:43">
      <c r="B14" s="6" t="s">
        <v>0</v>
      </c>
      <c r="C14" s="5">
        <v>61030</v>
      </c>
      <c r="D14" s="5" t="s">
        <v>1</v>
      </c>
      <c r="E14" s="5">
        <v>3045273</v>
      </c>
      <c r="F14" s="5" t="s">
        <v>2</v>
      </c>
      <c r="G14" s="5">
        <v>-467419</v>
      </c>
      <c r="H14" s="5" t="s">
        <v>1</v>
      </c>
      <c r="I14" s="5">
        <v>2369316</v>
      </c>
      <c r="J14" s="5">
        <f t="shared" si="3"/>
        <v>1204406</v>
      </c>
      <c r="K14" s="9">
        <f t="shared" si="8"/>
        <v>1045273</v>
      </c>
      <c r="L14" s="9">
        <f t="shared" si="4"/>
        <v>159133</v>
      </c>
      <c r="M14" s="9">
        <f t="shared" si="5"/>
        <v>-98103</v>
      </c>
      <c r="N14" s="9">
        <f t="shared" si="6"/>
        <v>220163</v>
      </c>
      <c r="O14" s="9">
        <f t="shared" si="9"/>
        <v>318267</v>
      </c>
      <c r="Q14" s="14">
        <f t="shared" si="7"/>
        <v>3000615</v>
      </c>
      <c r="R14" s="14">
        <f t="shared" si="7"/>
        <v>4730820</v>
      </c>
      <c r="S14" s="14">
        <f t="shared" si="7"/>
        <v>5700973</v>
      </c>
      <c r="T14" s="14">
        <f t="shared" si="7"/>
        <v>3728935</v>
      </c>
      <c r="U14" s="14">
        <f t="shared" si="7"/>
        <v>5053466</v>
      </c>
      <c r="V14" s="14">
        <f t="shared" si="7"/>
        <v>5323004</v>
      </c>
      <c r="W14" s="14">
        <f t="shared" si="7"/>
        <v>5265434</v>
      </c>
      <c r="X14" s="14">
        <f t="shared" si="7"/>
        <v>4649415</v>
      </c>
      <c r="Y14" s="14">
        <f t="shared" si="7"/>
        <v>4323700</v>
      </c>
      <c r="Z14" s="14">
        <f t="shared" si="7"/>
        <v>5287950</v>
      </c>
      <c r="AA14" s="14">
        <f t="shared" si="7"/>
        <v>1204406</v>
      </c>
      <c r="AB14" s="14">
        <f t="shared" si="7"/>
        <v>4855210</v>
      </c>
      <c r="AC14" s="14">
        <f t="shared" si="7"/>
        <v>5644557</v>
      </c>
      <c r="AD14" s="14">
        <f t="shared" si="7"/>
        <v>1652958</v>
      </c>
      <c r="AE14" s="14">
        <f t="shared" si="7"/>
        <v>5883767</v>
      </c>
      <c r="AF14" s="14">
        <f t="shared" si="7"/>
        <v>4657743</v>
      </c>
      <c r="AG14" s="14">
        <f t="shared" ref="AG14:AQ23" si="10">ABS($G14-AG$2)+ABS($I14-AG$3)</f>
        <v>4927858</v>
      </c>
      <c r="AH14" s="14">
        <f t="shared" si="10"/>
        <v>5944318</v>
      </c>
      <c r="AI14" s="14">
        <f t="shared" si="10"/>
        <v>6458320</v>
      </c>
      <c r="AJ14" s="14">
        <f t="shared" si="10"/>
        <v>5486918</v>
      </c>
      <c r="AK14" s="14">
        <f t="shared" si="10"/>
        <v>3918136</v>
      </c>
      <c r="AL14" s="14">
        <f t="shared" si="10"/>
        <v>3179680</v>
      </c>
      <c r="AM14" s="14">
        <f t="shared" si="10"/>
        <v>2686123</v>
      </c>
      <c r="AN14" s="14">
        <f t="shared" si="10"/>
        <v>1276463</v>
      </c>
      <c r="AO14" s="14">
        <f t="shared" si="10"/>
        <v>4442496</v>
      </c>
      <c r="AP14" s="14">
        <f t="shared" si="10"/>
        <v>5348288</v>
      </c>
      <c r="AQ14" s="14">
        <f t="shared" si="10"/>
        <v>4400008</v>
      </c>
    </row>
    <row r="15" spans="1:43">
      <c r="B15" s="6" t="s">
        <v>0</v>
      </c>
      <c r="C15" s="5">
        <v>3635583</v>
      </c>
      <c r="D15" s="5" t="s">
        <v>1</v>
      </c>
      <c r="E15" s="5">
        <v>3121524</v>
      </c>
      <c r="F15" s="5" t="s">
        <v>2</v>
      </c>
      <c r="G15" s="5">
        <v>4012908</v>
      </c>
      <c r="H15" s="5" t="s">
        <v>1</v>
      </c>
      <c r="I15" s="5">
        <v>3083616</v>
      </c>
      <c r="J15" s="5">
        <f t="shared" si="3"/>
        <v>415233</v>
      </c>
      <c r="K15" s="9" t="str">
        <f t="shared" si="8"/>
        <v/>
      </c>
      <c r="L15" s="9" t="str">
        <f t="shared" si="4"/>
        <v/>
      </c>
      <c r="M15" s="9">
        <f t="shared" si="5"/>
        <v>0</v>
      </c>
      <c r="N15" s="9">
        <f t="shared" si="6"/>
        <v>0</v>
      </c>
      <c r="O15" s="9">
        <f t="shared" si="9"/>
        <v>0</v>
      </c>
      <c r="Q15" s="14">
        <f t="shared" si="7"/>
        <v>3178672</v>
      </c>
      <c r="R15" s="14">
        <f t="shared" si="7"/>
        <v>2199673</v>
      </c>
      <c r="S15" s="14">
        <f t="shared" si="7"/>
        <v>2040794</v>
      </c>
      <c r="T15" s="14">
        <f t="shared" si="7"/>
        <v>1465692</v>
      </c>
      <c r="U15" s="14">
        <f t="shared" si="7"/>
        <v>141161</v>
      </c>
      <c r="V15" s="14">
        <f t="shared" si="7"/>
        <v>1410991</v>
      </c>
      <c r="W15" s="14">
        <f t="shared" si="7"/>
        <v>1747399</v>
      </c>
      <c r="X15" s="14">
        <f t="shared" si="7"/>
        <v>2276468</v>
      </c>
      <c r="Y15" s="14">
        <f t="shared" si="7"/>
        <v>947127</v>
      </c>
      <c r="Z15" s="14">
        <f t="shared" si="7"/>
        <v>198087</v>
      </c>
      <c r="AA15" s="14">
        <f t="shared" si="7"/>
        <v>3990221</v>
      </c>
      <c r="AB15" s="14">
        <f t="shared" si="7"/>
        <v>415233</v>
      </c>
      <c r="AC15" s="14">
        <f t="shared" si="7"/>
        <v>4277632</v>
      </c>
      <c r="AD15" s="14">
        <f t="shared" si="7"/>
        <v>5147257</v>
      </c>
      <c r="AE15" s="14">
        <f t="shared" si="7"/>
        <v>2972228</v>
      </c>
      <c r="AF15" s="14">
        <f t="shared" si="7"/>
        <v>958224</v>
      </c>
      <c r="AG15" s="14">
        <f t="shared" si="10"/>
        <v>266769</v>
      </c>
      <c r="AH15" s="14">
        <f t="shared" si="10"/>
        <v>3705341</v>
      </c>
      <c r="AI15" s="14">
        <f t="shared" si="10"/>
        <v>3023881</v>
      </c>
      <c r="AJ15" s="14">
        <f t="shared" si="10"/>
        <v>980633</v>
      </c>
      <c r="AK15" s="14">
        <f t="shared" si="10"/>
        <v>4654003</v>
      </c>
      <c r="AL15" s="14">
        <f t="shared" si="10"/>
        <v>2326197</v>
      </c>
      <c r="AM15" s="14">
        <f t="shared" si="10"/>
        <v>6815182</v>
      </c>
      <c r="AN15" s="14">
        <f t="shared" si="10"/>
        <v>4116396</v>
      </c>
      <c r="AO15" s="14">
        <f t="shared" si="10"/>
        <v>752131</v>
      </c>
      <c r="AP15" s="14">
        <f t="shared" si="10"/>
        <v>1677561</v>
      </c>
      <c r="AQ15" s="14">
        <f t="shared" si="10"/>
        <v>1212123</v>
      </c>
    </row>
    <row r="16" spans="1:43">
      <c r="B16" s="6" t="s">
        <v>0</v>
      </c>
      <c r="C16" s="5">
        <v>2813357</v>
      </c>
      <c r="D16" s="5" t="s">
        <v>1</v>
      </c>
      <c r="E16" s="5">
        <v>5535</v>
      </c>
      <c r="F16" s="5" t="s">
        <v>2</v>
      </c>
      <c r="G16" s="5">
        <v>3595763</v>
      </c>
      <c r="H16" s="5" t="s">
        <v>1</v>
      </c>
      <c r="I16" s="5">
        <v>-77322</v>
      </c>
      <c r="J16" s="5">
        <f t="shared" si="3"/>
        <v>865263</v>
      </c>
      <c r="K16" s="9" t="str">
        <f t="shared" si="8"/>
        <v/>
      </c>
      <c r="L16" s="9" t="str">
        <f t="shared" si="4"/>
        <v/>
      </c>
      <c r="M16" s="9">
        <f t="shared" si="5"/>
        <v>0</v>
      </c>
      <c r="N16" s="9">
        <f t="shared" si="6"/>
        <v>0</v>
      </c>
      <c r="O16" s="9">
        <f t="shared" si="9"/>
        <v>0</v>
      </c>
      <c r="Q16" s="14">
        <f t="shared" si="7"/>
        <v>5922465</v>
      </c>
      <c r="R16" s="14">
        <f t="shared" si="7"/>
        <v>4943466</v>
      </c>
      <c r="S16" s="14">
        <f t="shared" si="7"/>
        <v>1537289</v>
      </c>
      <c r="T16" s="14">
        <f t="shared" si="7"/>
        <v>3002145</v>
      </c>
      <c r="U16" s="14">
        <f t="shared" si="7"/>
        <v>3436922</v>
      </c>
      <c r="V16" s="14">
        <f t="shared" si="7"/>
        <v>4154784</v>
      </c>
      <c r="W16" s="14">
        <f t="shared" si="7"/>
        <v>4491192</v>
      </c>
      <c r="X16" s="14">
        <f t="shared" si="7"/>
        <v>1860405</v>
      </c>
      <c r="Y16" s="14">
        <f t="shared" si="7"/>
        <v>2630956</v>
      </c>
      <c r="Z16" s="14">
        <f t="shared" si="7"/>
        <v>3671406</v>
      </c>
      <c r="AA16" s="14">
        <f t="shared" si="7"/>
        <v>6657328</v>
      </c>
      <c r="AB16" s="14">
        <f t="shared" si="7"/>
        <v>3238666</v>
      </c>
      <c r="AC16" s="14">
        <f t="shared" si="7"/>
        <v>865263</v>
      </c>
      <c r="AD16" s="14">
        <f t="shared" si="7"/>
        <v>4856862</v>
      </c>
      <c r="AE16" s="14">
        <f t="shared" si="7"/>
        <v>626053</v>
      </c>
      <c r="AF16" s="14">
        <f t="shared" si="7"/>
        <v>2619859</v>
      </c>
      <c r="AG16" s="14">
        <f t="shared" si="10"/>
        <v>3311314</v>
      </c>
      <c r="AH16" s="14">
        <f t="shared" si="10"/>
        <v>565502</v>
      </c>
      <c r="AI16" s="14">
        <f t="shared" si="10"/>
        <v>554202</v>
      </c>
      <c r="AJ16" s="14">
        <f t="shared" si="10"/>
        <v>3870374</v>
      </c>
      <c r="AK16" s="14">
        <f t="shared" si="10"/>
        <v>2591684</v>
      </c>
      <c r="AL16" s="14">
        <f t="shared" si="10"/>
        <v>3330140</v>
      </c>
      <c r="AM16" s="14">
        <f t="shared" si="10"/>
        <v>3823697</v>
      </c>
      <c r="AN16" s="14">
        <f t="shared" si="10"/>
        <v>5233357</v>
      </c>
      <c r="AO16" s="14">
        <f t="shared" si="10"/>
        <v>2825952</v>
      </c>
      <c r="AP16" s="14">
        <f t="shared" si="10"/>
        <v>4421354</v>
      </c>
      <c r="AQ16" s="14">
        <f t="shared" si="10"/>
        <v>3955916</v>
      </c>
    </row>
    <row r="17" spans="2:43">
      <c r="B17" s="6" t="s">
        <v>0</v>
      </c>
      <c r="C17" s="5">
        <v>382745</v>
      </c>
      <c r="D17" s="5" t="s">
        <v>1</v>
      </c>
      <c r="E17" s="5">
        <v>1566522</v>
      </c>
      <c r="F17" s="5" t="s">
        <v>2</v>
      </c>
      <c r="G17" s="5">
        <v>1374835</v>
      </c>
      <c r="H17" s="5" t="s">
        <v>1</v>
      </c>
      <c r="I17" s="5">
        <v>2000000</v>
      </c>
      <c r="J17" s="5">
        <f t="shared" si="3"/>
        <v>1425568</v>
      </c>
      <c r="K17" s="9">
        <f t="shared" ref="K17:K30" si="11">IF(ABS($K$1-E17)-J17&lt;0,ABS($K$1-E17),"")</f>
        <v>433478</v>
      </c>
      <c r="L17" s="9">
        <f t="shared" si="4"/>
        <v>992090</v>
      </c>
      <c r="M17" s="9">
        <f t="shared" si="5"/>
        <v>-609345</v>
      </c>
      <c r="N17" s="9">
        <f t="shared" si="6"/>
        <v>1374835</v>
      </c>
      <c r="O17" s="9">
        <f t="shared" ref="O17:O30" si="12">IF(K17&lt;&gt;"",N17-M17+1,0)</f>
        <v>1984181</v>
      </c>
      <c r="Q17" s="14">
        <f t="shared" si="7"/>
        <v>1624215</v>
      </c>
      <c r="R17" s="14">
        <f t="shared" si="7"/>
        <v>3257882</v>
      </c>
      <c r="S17" s="14">
        <f t="shared" si="7"/>
        <v>3489403</v>
      </c>
      <c r="T17" s="14">
        <f t="shared" si="7"/>
        <v>2255997</v>
      </c>
      <c r="U17" s="14">
        <f t="shared" si="7"/>
        <v>3580528</v>
      </c>
      <c r="V17" s="14">
        <f t="shared" si="7"/>
        <v>3850066</v>
      </c>
      <c r="W17" s="14">
        <f t="shared" si="7"/>
        <v>3792496</v>
      </c>
      <c r="X17" s="14">
        <f t="shared" si="7"/>
        <v>2437845</v>
      </c>
      <c r="Y17" s="14">
        <f t="shared" si="7"/>
        <v>2774562</v>
      </c>
      <c r="Z17" s="14">
        <f t="shared" si="7"/>
        <v>3815012</v>
      </c>
      <c r="AA17" s="14">
        <f t="shared" si="7"/>
        <v>2359078</v>
      </c>
      <c r="AB17" s="14">
        <f t="shared" si="7"/>
        <v>3382272</v>
      </c>
      <c r="AC17" s="14">
        <f t="shared" si="7"/>
        <v>3432987</v>
      </c>
      <c r="AD17" s="14">
        <f t="shared" si="7"/>
        <v>1425568</v>
      </c>
      <c r="AE17" s="14">
        <f t="shared" si="7"/>
        <v>3672197</v>
      </c>
      <c r="AF17" s="14">
        <f t="shared" si="7"/>
        <v>2763465</v>
      </c>
      <c r="AG17" s="14">
        <f t="shared" si="10"/>
        <v>3454920</v>
      </c>
      <c r="AH17" s="14">
        <f t="shared" si="10"/>
        <v>3732748</v>
      </c>
      <c r="AI17" s="14">
        <f t="shared" si="10"/>
        <v>4246750</v>
      </c>
      <c r="AJ17" s="14">
        <f t="shared" si="10"/>
        <v>4013980</v>
      </c>
      <c r="AK17" s="14">
        <f t="shared" si="10"/>
        <v>1706566</v>
      </c>
      <c r="AL17" s="14">
        <f t="shared" si="10"/>
        <v>1395492</v>
      </c>
      <c r="AM17" s="14">
        <f t="shared" si="10"/>
        <v>3093493</v>
      </c>
      <c r="AN17" s="14">
        <f t="shared" si="10"/>
        <v>935107</v>
      </c>
      <c r="AO17" s="14">
        <f t="shared" si="10"/>
        <v>2969558</v>
      </c>
      <c r="AP17" s="14">
        <f t="shared" si="10"/>
        <v>3875350</v>
      </c>
      <c r="AQ17" s="14">
        <f t="shared" si="10"/>
        <v>2927070</v>
      </c>
    </row>
    <row r="18" spans="2:43">
      <c r="B18" s="6" t="s">
        <v>0</v>
      </c>
      <c r="C18" s="5">
        <v>3585664</v>
      </c>
      <c r="D18" s="5" t="s">
        <v>1</v>
      </c>
      <c r="E18" s="5">
        <v>538632</v>
      </c>
      <c r="F18" s="5" t="s">
        <v>2</v>
      </c>
      <c r="G18" s="5">
        <v>3595763</v>
      </c>
      <c r="H18" s="5" t="s">
        <v>1</v>
      </c>
      <c r="I18" s="5">
        <v>-77322</v>
      </c>
      <c r="J18" s="5">
        <f t="shared" si="3"/>
        <v>626053</v>
      </c>
      <c r="K18" s="9" t="str">
        <f t="shared" si="11"/>
        <v/>
      </c>
      <c r="L18" s="9" t="str">
        <f t="shared" si="4"/>
        <v/>
      </c>
      <c r="M18" s="9">
        <f t="shared" si="5"/>
        <v>0</v>
      </c>
      <c r="N18" s="9">
        <f t="shared" si="6"/>
        <v>0</v>
      </c>
      <c r="O18" s="9">
        <f t="shared" si="12"/>
        <v>0</v>
      </c>
      <c r="Q18" s="14">
        <f t="shared" si="7"/>
        <v>5922465</v>
      </c>
      <c r="R18" s="14">
        <f t="shared" si="7"/>
        <v>4943466</v>
      </c>
      <c r="S18" s="14">
        <f t="shared" si="7"/>
        <v>1537289</v>
      </c>
      <c r="T18" s="14">
        <f t="shared" si="7"/>
        <v>3002145</v>
      </c>
      <c r="U18" s="14">
        <f t="shared" si="7"/>
        <v>3436922</v>
      </c>
      <c r="V18" s="14">
        <f t="shared" si="7"/>
        <v>4154784</v>
      </c>
      <c r="W18" s="14">
        <f t="shared" si="7"/>
        <v>4491192</v>
      </c>
      <c r="X18" s="14">
        <f t="shared" si="7"/>
        <v>1860405</v>
      </c>
      <c r="Y18" s="14">
        <f t="shared" si="7"/>
        <v>2630956</v>
      </c>
      <c r="Z18" s="14">
        <f t="shared" si="7"/>
        <v>3671406</v>
      </c>
      <c r="AA18" s="14">
        <f t="shared" si="7"/>
        <v>6657328</v>
      </c>
      <c r="AB18" s="14">
        <f t="shared" si="7"/>
        <v>3238666</v>
      </c>
      <c r="AC18" s="14">
        <f t="shared" si="7"/>
        <v>865263</v>
      </c>
      <c r="AD18" s="14">
        <f t="shared" si="7"/>
        <v>4856862</v>
      </c>
      <c r="AE18" s="14">
        <f t="shared" si="7"/>
        <v>626053</v>
      </c>
      <c r="AF18" s="14">
        <f t="shared" si="7"/>
        <v>2619859</v>
      </c>
      <c r="AG18" s="14">
        <f t="shared" si="10"/>
        <v>3311314</v>
      </c>
      <c r="AH18" s="14">
        <f t="shared" si="10"/>
        <v>565502</v>
      </c>
      <c r="AI18" s="14">
        <f t="shared" si="10"/>
        <v>554202</v>
      </c>
      <c r="AJ18" s="14">
        <f t="shared" si="10"/>
        <v>3870374</v>
      </c>
      <c r="AK18" s="14">
        <f t="shared" si="10"/>
        <v>2591684</v>
      </c>
      <c r="AL18" s="14">
        <f t="shared" si="10"/>
        <v>3330140</v>
      </c>
      <c r="AM18" s="14">
        <f t="shared" si="10"/>
        <v>3823697</v>
      </c>
      <c r="AN18" s="14">
        <f t="shared" si="10"/>
        <v>5233357</v>
      </c>
      <c r="AO18" s="14">
        <f t="shared" si="10"/>
        <v>2825952</v>
      </c>
      <c r="AP18" s="14">
        <f t="shared" si="10"/>
        <v>4421354</v>
      </c>
      <c r="AQ18" s="14">
        <f t="shared" si="10"/>
        <v>3955916</v>
      </c>
    </row>
    <row r="19" spans="2:43">
      <c r="B19" s="6" t="s">
        <v>0</v>
      </c>
      <c r="C19" s="5">
        <v>3979654</v>
      </c>
      <c r="D19" s="5" t="s">
        <v>1</v>
      </c>
      <c r="E19" s="5">
        <v>2158646</v>
      </c>
      <c r="F19" s="5" t="s">
        <v>2</v>
      </c>
      <c r="G19" s="5">
        <v>3621412</v>
      </c>
      <c r="H19" s="5" t="s">
        <v>1</v>
      </c>
      <c r="I19" s="5">
        <v>2239432</v>
      </c>
      <c r="J19" s="5">
        <f t="shared" si="3"/>
        <v>439028</v>
      </c>
      <c r="K19" s="9">
        <f t="shared" si="11"/>
        <v>158646</v>
      </c>
      <c r="L19" s="9">
        <f t="shared" si="4"/>
        <v>280382</v>
      </c>
      <c r="M19" s="9">
        <f t="shared" si="5"/>
        <v>3699272</v>
      </c>
      <c r="N19" s="9">
        <f t="shared" si="6"/>
        <v>4260036</v>
      </c>
      <c r="O19" s="9">
        <f t="shared" si="12"/>
        <v>560765</v>
      </c>
      <c r="Q19" s="14">
        <f t="shared" si="7"/>
        <v>3631360</v>
      </c>
      <c r="R19" s="14">
        <f t="shared" si="7"/>
        <v>2652361</v>
      </c>
      <c r="S19" s="14">
        <f t="shared" si="7"/>
        <v>1482258</v>
      </c>
      <c r="T19" s="14">
        <f t="shared" si="7"/>
        <v>711040</v>
      </c>
      <c r="U19" s="14">
        <f t="shared" si="7"/>
        <v>1094519</v>
      </c>
      <c r="V19" s="14">
        <f t="shared" si="7"/>
        <v>1863679</v>
      </c>
      <c r="W19" s="14">
        <f t="shared" si="7"/>
        <v>2200087</v>
      </c>
      <c r="X19" s="14">
        <f t="shared" si="7"/>
        <v>1040788</v>
      </c>
      <c r="Y19" s="14">
        <f t="shared" si="7"/>
        <v>288553</v>
      </c>
      <c r="Z19" s="14">
        <f t="shared" si="7"/>
        <v>1329003</v>
      </c>
      <c r="AA19" s="14">
        <f t="shared" si="7"/>
        <v>4366223</v>
      </c>
      <c r="AB19" s="14">
        <f t="shared" si="7"/>
        <v>896263</v>
      </c>
      <c r="AC19" s="14">
        <f t="shared" si="7"/>
        <v>3041952</v>
      </c>
      <c r="AD19" s="14">
        <f t="shared" si="7"/>
        <v>3911577</v>
      </c>
      <c r="AE19" s="14">
        <f t="shared" si="7"/>
        <v>1736548</v>
      </c>
      <c r="AF19" s="14">
        <f t="shared" si="7"/>
        <v>439028</v>
      </c>
      <c r="AG19" s="14">
        <f t="shared" si="10"/>
        <v>968911</v>
      </c>
      <c r="AH19" s="14">
        <f t="shared" si="10"/>
        <v>2469661</v>
      </c>
      <c r="AI19" s="14">
        <f t="shared" si="10"/>
        <v>2239605</v>
      </c>
      <c r="AJ19" s="14">
        <f t="shared" si="10"/>
        <v>1527971</v>
      </c>
      <c r="AK19" s="14">
        <f t="shared" si="10"/>
        <v>3418323</v>
      </c>
      <c r="AL19" s="14">
        <f t="shared" si="10"/>
        <v>1090517</v>
      </c>
      <c r="AM19" s="14">
        <f t="shared" si="10"/>
        <v>5579502</v>
      </c>
      <c r="AN19" s="14">
        <f t="shared" si="10"/>
        <v>2942252</v>
      </c>
      <c r="AO19" s="14">
        <f t="shared" si="10"/>
        <v>483549</v>
      </c>
      <c r="AP19" s="14">
        <f t="shared" si="10"/>
        <v>2130249</v>
      </c>
      <c r="AQ19" s="14">
        <f t="shared" si="10"/>
        <v>1664811</v>
      </c>
    </row>
    <row r="20" spans="2:43">
      <c r="B20" s="6" t="s">
        <v>0</v>
      </c>
      <c r="C20" s="5">
        <v>3996588</v>
      </c>
      <c r="D20" s="5" t="s">
        <v>1</v>
      </c>
      <c r="E20" s="5">
        <v>2833167</v>
      </c>
      <c r="F20" s="5" t="s">
        <v>2</v>
      </c>
      <c r="G20" s="5">
        <v>4012908</v>
      </c>
      <c r="H20" s="5" t="s">
        <v>1</v>
      </c>
      <c r="I20" s="5">
        <v>3083616</v>
      </c>
      <c r="J20" s="5">
        <f t="shared" si="3"/>
        <v>266769</v>
      </c>
      <c r="K20" s="9" t="str">
        <f t="shared" si="11"/>
        <v/>
      </c>
      <c r="L20" s="9" t="str">
        <f t="shared" si="4"/>
        <v/>
      </c>
      <c r="M20" s="9">
        <f t="shared" si="5"/>
        <v>0</v>
      </c>
      <c r="N20" s="9">
        <f t="shared" si="6"/>
        <v>0</v>
      </c>
      <c r="O20" s="9">
        <f t="shared" si="12"/>
        <v>0</v>
      </c>
      <c r="Q20" s="14">
        <f t="shared" si="7"/>
        <v>3178672</v>
      </c>
      <c r="R20" s="14">
        <f t="shared" si="7"/>
        <v>2199673</v>
      </c>
      <c r="S20" s="14">
        <f t="shared" si="7"/>
        <v>2040794</v>
      </c>
      <c r="T20" s="14">
        <f t="shared" si="7"/>
        <v>1465692</v>
      </c>
      <c r="U20" s="14">
        <f t="shared" si="7"/>
        <v>141161</v>
      </c>
      <c r="V20" s="14">
        <f t="shared" si="7"/>
        <v>1410991</v>
      </c>
      <c r="W20" s="14">
        <f t="shared" si="7"/>
        <v>1747399</v>
      </c>
      <c r="X20" s="14">
        <f t="shared" si="7"/>
        <v>2276468</v>
      </c>
      <c r="Y20" s="14">
        <f t="shared" si="7"/>
        <v>947127</v>
      </c>
      <c r="Z20" s="14">
        <f t="shared" si="7"/>
        <v>198087</v>
      </c>
      <c r="AA20" s="14">
        <f t="shared" si="7"/>
        <v>3990221</v>
      </c>
      <c r="AB20" s="14">
        <f t="shared" si="7"/>
        <v>415233</v>
      </c>
      <c r="AC20" s="14">
        <f t="shared" si="7"/>
        <v>4277632</v>
      </c>
      <c r="AD20" s="14">
        <f t="shared" si="7"/>
        <v>5147257</v>
      </c>
      <c r="AE20" s="14">
        <f t="shared" si="7"/>
        <v>2972228</v>
      </c>
      <c r="AF20" s="14">
        <f t="shared" si="7"/>
        <v>958224</v>
      </c>
      <c r="AG20" s="14">
        <f t="shared" si="10"/>
        <v>266769</v>
      </c>
      <c r="AH20" s="14">
        <f t="shared" si="10"/>
        <v>3705341</v>
      </c>
      <c r="AI20" s="14">
        <f t="shared" si="10"/>
        <v>3023881</v>
      </c>
      <c r="AJ20" s="14">
        <f t="shared" si="10"/>
        <v>980633</v>
      </c>
      <c r="AK20" s="14">
        <f t="shared" si="10"/>
        <v>4654003</v>
      </c>
      <c r="AL20" s="14">
        <f t="shared" si="10"/>
        <v>2326197</v>
      </c>
      <c r="AM20" s="14">
        <f t="shared" si="10"/>
        <v>6815182</v>
      </c>
      <c r="AN20" s="14">
        <f t="shared" si="10"/>
        <v>4116396</v>
      </c>
      <c r="AO20" s="14">
        <f t="shared" si="10"/>
        <v>752131</v>
      </c>
      <c r="AP20" s="14">
        <f t="shared" si="10"/>
        <v>1677561</v>
      </c>
      <c r="AQ20" s="14">
        <f t="shared" si="10"/>
        <v>1212123</v>
      </c>
    </row>
    <row r="21" spans="2:43">
      <c r="B21" s="6" t="s">
        <v>0</v>
      </c>
      <c r="C21" s="5">
        <v>3249383</v>
      </c>
      <c r="D21" s="5" t="s">
        <v>1</v>
      </c>
      <c r="E21" s="5">
        <v>141800</v>
      </c>
      <c r="F21" s="5" t="s">
        <v>2</v>
      </c>
      <c r="G21" s="5">
        <v>3595763</v>
      </c>
      <c r="H21" s="5" t="s">
        <v>1</v>
      </c>
      <c r="I21" s="5">
        <v>-77322</v>
      </c>
      <c r="J21" s="5">
        <f t="shared" si="3"/>
        <v>565502</v>
      </c>
      <c r="K21" s="9" t="str">
        <f t="shared" si="11"/>
        <v/>
      </c>
      <c r="L21" s="9" t="str">
        <f t="shared" si="4"/>
        <v/>
      </c>
      <c r="M21" s="9">
        <f t="shared" si="5"/>
        <v>0</v>
      </c>
      <c r="N21" s="9">
        <f t="shared" si="6"/>
        <v>0</v>
      </c>
      <c r="O21" s="9">
        <f t="shared" si="12"/>
        <v>0</v>
      </c>
      <c r="Q21" s="14">
        <f t="shared" si="7"/>
        <v>5922465</v>
      </c>
      <c r="R21" s="14">
        <f t="shared" si="7"/>
        <v>4943466</v>
      </c>
      <c r="S21" s="14">
        <f t="shared" si="7"/>
        <v>1537289</v>
      </c>
      <c r="T21" s="14">
        <f t="shared" si="7"/>
        <v>3002145</v>
      </c>
      <c r="U21" s="14">
        <f t="shared" si="7"/>
        <v>3436922</v>
      </c>
      <c r="V21" s="14">
        <f t="shared" si="7"/>
        <v>4154784</v>
      </c>
      <c r="W21" s="14">
        <f t="shared" si="7"/>
        <v>4491192</v>
      </c>
      <c r="X21" s="14">
        <f t="shared" si="7"/>
        <v>1860405</v>
      </c>
      <c r="Y21" s="14">
        <f t="shared" si="7"/>
        <v>2630956</v>
      </c>
      <c r="Z21" s="14">
        <f t="shared" si="7"/>
        <v>3671406</v>
      </c>
      <c r="AA21" s="14">
        <f t="shared" si="7"/>
        <v>6657328</v>
      </c>
      <c r="AB21" s="14">
        <f t="shared" si="7"/>
        <v>3238666</v>
      </c>
      <c r="AC21" s="14">
        <f t="shared" si="7"/>
        <v>865263</v>
      </c>
      <c r="AD21" s="14">
        <f t="shared" si="7"/>
        <v>4856862</v>
      </c>
      <c r="AE21" s="14">
        <f t="shared" si="7"/>
        <v>626053</v>
      </c>
      <c r="AF21" s="14">
        <f t="shared" si="7"/>
        <v>2619859</v>
      </c>
      <c r="AG21" s="14">
        <f t="shared" si="10"/>
        <v>3311314</v>
      </c>
      <c r="AH21" s="14">
        <f t="shared" si="10"/>
        <v>565502</v>
      </c>
      <c r="AI21" s="14">
        <f t="shared" si="10"/>
        <v>554202</v>
      </c>
      <c r="AJ21" s="14">
        <f t="shared" si="10"/>
        <v>3870374</v>
      </c>
      <c r="AK21" s="14">
        <f t="shared" si="10"/>
        <v>2591684</v>
      </c>
      <c r="AL21" s="14">
        <f t="shared" si="10"/>
        <v>3330140</v>
      </c>
      <c r="AM21" s="14">
        <f t="shared" si="10"/>
        <v>3823697</v>
      </c>
      <c r="AN21" s="14">
        <f t="shared" si="10"/>
        <v>5233357</v>
      </c>
      <c r="AO21" s="14">
        <f t="shared" si="10"/>
        <v>2825952</v>
      </c>
      <c r="AP21" s="14">
        <f t="shared" si="10"/>
        <v>4421354</v>
      </c>
      <c r="AQ21" s="14">
        <f t="shared" si="10"/>
        <v>3955916</v>
      </c>
    </row>
    <row r="22" spans="2:43">
      <c r="B22" s="6" t="s">
        <v>0</v>
      </c>
      <c r="C22" s="5">
        <v>3847114</v>
      </c>
      <c r="D22" s="5" t="s">
        <v>1</v>
      </c>
      <c r="E22" s="5">
        <v>225529</v>
      </c>
      <c r="F22" s="5" t="s">
        <v>2</v>
      </c>
      <c r="G22" s="5">
        <v>3595763</v>
      </c>
      <c r="H22" s="5" t="s">
        <v>1</v>
      </c>
      <c r="I22" s="5">
        <v>-77322</v>
      </c>
      <c r="J22" s="5">
        <f t="shared" si="3"/>
        <v>554202</v>
      </c>
      <c r="K22" s="9" t="str">
        <f t="shared" si="11"/>
        <v/>
      </c>
      <c r="L22" s="9" t="str">
        <f t="shared" si="4"/>
        <v/>
      </c>
      <c r="M22" s="9">
        <f t="shared" si="5"/>
        <v>0</v>
      </c>
      <c r="N22" s="9">
        <f t="shared" si="6"/>
        <v>0</v>
      </c>
      <c r="O22" s="9">
        <f t="shared" si="12"/>
        <v>0</v>
      </c>
      <c r="Q22" s="14">
        <f t="shared" si="7"/>
        <v>5922465</v>
      </c>
      <c r="R22" s="14">
        <f t="shared" si="7"/>
        <v>4943466</v>
      </c>
      <c r="S22" s="14">
        <f t="shared" si="7"/>
        <v>1537289</v>
      </c>
      <c r="T22" s="14">
        <f t="shared" si="7"/>
        <v>3002145</v>
      </c>
      <c r="U22" s="14">
        <f t="shared" si="7"/>
        <v>3436922</v>
      </c>
      <c r="V22" s="14">
        <f t="shared" si="7"/>
        <v>4154784</v>
      </c>
      <c r="W22" s="14">
        <f t="shared" si="7"/>
        <v>4491192</v>
      </c>
      <c r="X22" s="14">
        <f t="shared" si="7"/>
        <v>1860405</v>
      </c>
      <c r="Y22" s="14">
        <f t="shared" si="7"/>
        <v>2630956</v>
      </c>
      <c r="Z22" s="14">
        <f t="shared" si="7"/>
        <v>3671406</v>
      </c>
      <c r="AA22" s="14">
        <f t="shared" si="7"/>
        <v>6657328</v>
      </c>
      <c r="AB22" s="14">
        <f t="shared" si="7"/>
        <v>3238666</v>
      </c>
      <c r="AC22" s="14">
        <f t="shared" si="7"/>
        <v>865263</v>
      </c>
      <c r="AD22" s="14">
        <f t="shared" si="7"/>
        <v>4856862</v>
      </c>
      <c r="AE22" s="14">
        <f t="shared" si="7"/>
        <v>626053</v>
      </c>
      <c r="AF22" s="14">
        <f t="shared" si="7"/>
        <v>2619859</v>
      </c>
      <c r="AG22" s="14">
        <f t="shared" si="10"/>
        <v>3311314</v>
      </c>
      <c r="AH22" s="14">
        <f t="shared" si="10"/>
        <v>565502</v>
      </c>
      <c r="AI22" s="14">
        <f t="shared" si="10"/>
        <v>554202</v>
      </c>
      <c r="AJ22" s="14">
        <f t="shared" si="10"/>
        <v>3870374</v>
      </c>
      <c r="AK22" s="14">
        <f t="shared" si="10"/>
        <v>2591684</v>
      </c>
      <c r="AL22" s="14">
        <f t="shared" si="10"/>
        <v>3330140</v>
      </c>
      <c r="AM22" s="14">
        <f t="shared" si="10"/>
        <v>3823697</v>
      </c>
      <c r="AN22" s="14">
        <f t="shared" si="10"/>
        <v>5233357</v>
      </c>
      <c r="AO22" s="14">
        <f t="shared" si="10"/>
        <v>2825952</v>
      </c>
      <c r="AP22" s="14">
        <f t="shared" si="10"/>
        <v>4421354</v>
      </c>
      <c r="AQ22" s="14">
        <f t="shared" si="10"/>
        <v>3955916</v>
      </c>
    </row>
    <row r="23" spans="2:43">
      <c r="B23" s="6" t="s">
        <v>0</v>
      </c>
      <c r="C23" s="5">
        <v>3668737</v>
      </c>
      <c r="D23" s="5" t="s">
        <v>1</v>
      </c>
      <c r="E23" s="5">
        <v>3720078</v>
      </c>
      <c r="F23" s="5" t="s">
        <v>2</v>
      </c>
      <c r="G23" s="5">
        <v>3184941</v>
      </c>
      <c r="H23" s="5" t="s">
        <v>1</v>
      </c>
      <c r="I23" s="5">
        <v>3924923</v>
      </c>
      <c r="J23" s="5">
        <f t="shared" si="3"/>
        <v>688641</v>
      </c>
      <c r="K23" s="9" t="str">
        <f t="shared" si="11"/>
        <v/>
      </c>
      <c r="L23" s="9" t="str">
        <f t="shared" si="4"/>
        <v/>
      </c>
      <c r="M23" s="9">
        <f t="shared" si="5"/>
        <v>0</v>
      </c>
      <c r="N23" s="9">
        <f t="shared" si="6"/>
        <v>0</v>
      </c>
      <c r="O23" s="9">
        <f t="shared" si="12"/>
        <v>0</v>
      </c>
      <c r="Q23" s="14">
        <f t="shared" si="7"/>
        <v>2207352</v>
      </c>
      <c r="R23" s="14">
        <f t="shared" si="7"/>
        <v>530399</v>
      </c>
      <c r="S23" s="14">
        <f t="shared" si="7"/>
        <v>3604220</v>
      </c>
      <c r="T23" s="14">
        <f t="shared" si="7"/>
        <v>1479032</v>
      </c>
      <c r="U23" s="14">
        <f t="shared" si="7"/>
        <v>1750673</v>
      </c>
      <c r="V23" s="14">
        <f t="shared" si="7"/>
        <v>258283</v>
      </c>
      <c r="W23" s="14">
        <f t="shared" si="7"/>
        <v>78125</v>
      </c>
      <c r="X23" s="14">
        <f t="shared" si="7"/>
        <v>2552662</v>
      </c>
      <c r="Y23" s="14">
        <f t="shared" si="7"/>
        <v>2226947</v>
      </c>
      <c r="Z23" s="14">
        <f t="shared" si="7"/>
        <v>1471187</v>
      </c>
      <c r="AA23" s="14">
        <f t="shared" si="7"/>
        <v>4003561</v>
      </c>
      <c r="AB23" s="14">
        <f t="shared" si="7"/>
        <v>1254041</v>
      </c>
      <c r="AC23" s="14">
        <f t="shared" si="7"/>
        <v>4290972</v>
      </c>
      <c r="AD23" s="14">
        <f t="shared" si="7"/>
        <v>5160597</v>
      </c>
      <c r="AE23" s="14">
        <f t="shared" si="7"/>
        <v>3787014</v>
      </c>
      <c r="AF23" s="14">
        <f t="shared" si="7"/>
        <v>2560990</v>
      </c>
      <c r="AG23" s="14">
        <f t="shared" si="10"/>
        <v>1903403</v>
      </c>
      <c r="AH23" s="14">
        <f t="shared" si="10"/>
        <v>3847565</v>
      </c>
      <c r="AI23" s="14">
        <f t="shared" si="10"/>
        <v>4361567</v>
      </c>
      <c r="AJ23" s="14">
        <f t="shared" si="10"/>
        <v>688641</v>
      </c>
      <c r="AK23" s="14">
        <f t="shared" si="10"/>
        <v>4667343</v>
      </c>
      <c r="AL23" s="14">
        <f t="shared" si="10"/>
        <v>2339537</v>
      </c>
      <c r="AM23" s="14">
        <f t="shared" si="10"/>
        <v>6828522</v>
      </c>
      <c r="AN23" s="14">
        <f t="shared" si="10"/>
        <v>4129736</v>
      </c>
      <c r="AO23" s="14">
        <f t="shared" si="10"/>
        <v>1743501</v>
      </c>
      <c r="AP23" s="14">
        <f t="shared" si="10"/>
        <v>140321</v>
      </c>
      <c r="AQ23" s="14">
        <f t="shared" si="10"/>
        <v>807959</v>
      </c>
    </row>
    <row r="24" spans="2:43">
      <c r="B24" s="6" t="s">
        <v>0</v>
      </c>
      <c r="C24" s="5">
        <v>1761961</v>
      </c>
      <c r="D24" s="5" t="s">
        <v>1</v>
      </c>
      <c r="E24" s="5">
        <v>680560</v>
      </c>
      <c r="F24" s="5" t="s">
        <v>2</v>
      </c>
      <c r="G24" s="5">
        <v>1374835</v>
      </c>
      <c r="H24" s="5" t="s">
        <v>1</v>
      </c>
      <c r="I24" s="5">
        <v>2000000</v>
      </c>
      <c r="J24" s="5">
        <f t="shared" si="3"/>
        <v>1706566</v>
      </c>
      <c r="K24" s="9">
        <f t="shared" si="11"/>
        <v>1319440</v>
      </c>
      <c r="L24" s="9">
        <f t="shared" si="4"/>
        <v>387126</v>
      </c>
      <c r="M24" s="9">
        <f t="shared" si="5"/>
        <v>1374835</v>
      </c>
      <c r="N24" s="9">
        <f t="shared" si="6"/>
        <v>2149087</v>
      </c>
      <c r="O24" s="9">
        <f t="shared" si="12"/>
        <v>774253</v>
      </c>
      <c r="Q24" s="14">
        <f t="shared" si="7"/>
        <v>1624215</v>
      </c>
      <c r="R24" s="14">
        <f t="shared" si="7"/>
        <v>3257882</v>
      </c>
      <c r="S24" s="14">
        <f t="shared" si="7"/>
        <v>3489403</v>
      </c>
      <c r="T24" s="14">
        <f t="shared" si="7"/>
        <v>2255997</v>
      </c>
      <c r="U24" s="14">
        <f t="shared" si="7"/>
        <v>3580528</v>
      </c>
      <c r="V24" s="14">
        <f t="shared" si="7"/>
        <v>3850066</v>
      </c>
      <c r="W24" s="14">
        <f t="shared" si="7"/>
        <v>3792496</v>
      </c>
      <c r="X24" s="14">
        <f t="shared" si="7"/>
        <v>2437845</v>
      </c>
      <c r="Y24" s="14">
        <f t="shared" si="7"/>
        <v>2774562</v>
      </c>
      <c r="Z24" s="14">
        <f t="shared" si="7"/>
        <v>3815012</v>
      </c>
      <c r="AA24" s="14">
        <f t="shared" si="7"/>
        <v>2359078</v>
      </c>
      <c r="AB24" s="14">
        <f t="shared" si="7"/>
        <v>3382272</v>
      </c>
      <c r="AC24" s="14">
        <f t="shared" si="7"/>
        <v>3432987</v>
      </c>
      <c r="AD24" s="14">
        <f t="shared" si="7"/>
        <v>1425568</v>
      </c>
      <c r="AE24" s="14">
        <f t="shared" si="7"/>
        <v>3672197</v>
      </c>
      <c r="AF24" s="14">
        <f t="shared" si="7"/>
        <v>2763465</v>
      </c>
      <c r="AG24" s="14">
        <f t="shared" ref="AG24:AQ30" si="13">ABS($G24-AG$2)+ABS($I24-AG$3)</f>
        <v>3454920</v>
      </c>
      <c r="AH24" s="14">
        <f t="shared" si="13"/>
        <v>3732748</v>
      </c>
      <c r="AI24" s="14">
        <f t="shared" si="13"/>
        <v>4246750</v>
      </c>
      <c r="AJ24" s="14">
        <f t="shared" si="13"/>
        <v>4013980</v>
      </c>
      <c r="AK24" s="14">
        <f t="shared" si="13"/>
        <v>1706566</v>
      </c>
      <c r="AL24" s="14">
        <f t="shared" si="13"/>
        <v>1395492</v>
      </c>
      <c r="AM24" s="14">
        <f t="shared" si="13"/>
        <v>3093493</v>
      </c>
      <c r="AN24" s="14">
        <f t="shared" si="13"/>
        <v>935107</v>
      </c>
      <c r="AO24" s="14">
        <f t="shared" si="13"/>
        <v>2969558</v>
      </c>
      <c r="AP24" s="14">
        <f t="shared" si="13"/>
        <v>3875350</v>
      </c>
      <c r="AQ24" s="14">
        <f t="shared" si="13"/>
        <v>2927070</v>
      </c>
    </row>
    <row r="25" spans="2:43">
      <c r="B25" s="6" t="s">
        <v>0</v>
      </c>
      <c r="C25" s="5">
        <v>2556636</v>
      </c>
      <c r="D25" s="5" t="s">
        <v>1</v>
      </c>
      <c r="E25" s="5">
        <v>2213691</v>
      </c>
      <c r="F25" s="5" t="s">
        <v>2</v>
      </c>
      <c r="G25" s="5">
        <v>3621412</v>
      </c>
      <c r="H25" s="5" t="s">
        <v>1</v>
      </c>
      <c r="I25" s="5">
        <v>2239432</v>
      </c>
      <c r="J25" s="5">
        <f t="shared" si="3"/>
        <v>1090517</v>
      </c>
      <c r="K25" s="9">
        <f t="shared" si="11"/>
        <v>213691</v>
      </c>
      <c r="L25" s="9">
        <f t="shared" si="4"/>
        <v>876826</v>
      </c>
      <c r="M25" s="9">
        <f t="shared" si="5"/>
        <v>1679810</v>
      </c>
      <c r="N25" s="9">
        <f t="shared" si="6"/>
        <v>3433462</v>
      </c>
      <c r="O25" s="9">
        <f t="shared" si="12"/>
        <v>1753653</v>
      </c>
      <c r="Q25" s="14">
        <f t="shared" si="7"/>
        <v>3631360</v>
      </c>
      <c r="R25" s="14">
        <f t="shared" si="7"/>
        <v>2652361</v>
      </c>
      <c r="S25" s="14">
        <f t="shared" si="7"/>
        <v>1482258</v>
      </c>
      <c r="T25" s="14">
        <f t="shared" si="7"/>
        <v>711040</v>
      </c>
      <c r="U25" s="14">
        <f t="shared" si="7"/>
        <v>1094519</v>
      </c>
      <c r="V25" s="14">
        <f t="shared" si="7"/>
        <v>1863679</v>
      </c>
      <c r="W25" s="14">
        <f t="shared" si="7"/>
        <v>2200087</v>
      </c>
      <c r="X25" s="14">
        <f t="shared" si="7"/>
        <v>1040788</v>
      </c>
      <c r="Y25" s="14">
        <f t="shared" si="7"/>
        <v>288553</v>
      </c>
      <c r="Z25" s="14">
        <f t="shared" si="7"/>
        <v>1329003</v>
      </c>
      <c r="AA25" s="14">
        <f t="shared" si="7"/>
        <v>4366223</v>
      </c>
      <c r="AB25" s="14">
        <f t="shared" si="7"/>
        <v>896263</v>
      </c>
      <c r="AC25" s="14">
        <f t="shared" si="7"/>
        <v>3041952</v>
      </c>
      <c r="AD25" s="14">
        <f t="shared" si="7"/>
        <v>3911577</v>
      </c>
      <c r="AE25" s="14">
        <f t="shared" si="7"/>
        <v>1736548</v>
      </c>
      <c r="AF25" s="14">
        <f t="shared" si="7"/>
        <v>439028</v>
      </c>
      <c r="AG25" s="14">
        <f t="shared" si="13"/>
        <v>968911</v>
      </c>
      <c r="AH25" s="14">
        <f t="shared" si="13"/>
        <v>2469661</v>
      </c>
      <c r="AI25" s="14">
        <f t="shared" si="13"/>
        <v>2239605</v>
      </c>
      <c r="AJ25" s="14">
        <f t="shared" si="13"/>
        <v>1527971</v>
      </c>
      <c r="AK25" s="14">
        <f t="shared" si="13"/>
        <v>3418323</v>
      </c>
      <c r="AL25" s="14">
        <f t="shared" si="13"/>
        <v>1090517</v>
      </c>
      <c r="AM25" s="14">
        <f t="shared" si="13"/>
        <v>5579502</v>
      </c>
      <c r="AN25" s="14">
        <f t="shared" si="13"/>
        <v>2942252</v>
      </c>
      <c r="AO25" s="14">
        <f t="shared" si="13"/>
        <v>483549</v>
      </c>
      <c r="AP25" s="14">
        <f t="shared" si="13"/>
        <v>2130249</v>
      </c>
      <c r="AQ25" s="14">
        <f t="shared" si="13"/>
        <v>1664811</v>
      </c>
    </row>
    <row r="26" spans="2:43">
      <c r="B26" s="6" t="s">
        <v>0</v>
      </c>
      <c r="C26" s="5">
        <v>65365</v>
      </c>
      <c r="D26" s="5" t="s">
        <v>1</v>
      </c>
      <c r="E26" s="5">
        <v>215977</v>
      </c>
      <c r="F26" s="5" t="s">
        <v>2</v>
      </c>
      <c r="G26" s="5">
        <v>346716</v>
      </c>
      <c r="H26" s="5" t="s">
        <v>1</v>
      </c>
      <c r="I26" s="5">
        <v>-573228</v>
      </c>
      <c r="J26" s="5">
        <f t="shared" si="3"/>
        <v>1070556</v>
      </c>
      <c r="K26" s="9" t="str">
        <f t="shared" si="11"/>
        <v/>
      </c>
      <c r="L26" s="9" t="str">
        <f t="shared" si="4"/>
        <v/>
      </c>
      <c r="M26" s="9">
        <f t="shared" si="5"/>
        <v>0</v>
      </c>
      <c r="N26" s="9">
        <f t="shared" si="6"/>
        <v>0</v>
      </c>
      <c r="O26" s="9">
        <f t="shared" si="12"/>
        <v>0</v>
      </c>
      <c r="Q26" s="14">
        <f t="shared" si="7"/>
        <v>5129024</v>
      </c>
      <c r="R26" s="14">
        <f t="shared" si="7"/>
        <v>6859229</v>
      </c>
      <c r="S26" s="14">
        <f t="shared" si="7"/>
        <v>5282242</v>
      </c>
      <c r="T26" s="14">
        <f t="shared" si="7"/>
        <v>5857344</v>
      </c>
      <c r="U26" s="14">
        <f t="shared" si="7"/>
        <v>7181875</v>
      </c>
      <c r="V26" s="14">
        <f t="shared" si="7"/>
        <v>7451413</v>
      </c>
      <c r="W26" s="14">
        <f t="shared" si="7"/>
        <v>7393843</v>
      </c>
      <c r="X26" s="14">
        <f t="shared" si="7"/>
        <v>5046568</v>
      </c>
      <c r="Y26" s="14">
        <f t="shared" si="7"/>
        <v>6375909</v>
      </c>
      <c r="Z26" s="14">
        <f t="shared" si="7"/>
        <v>7416359</v>
      </c>
      <c r="AA26" s="14">
        <f t="shared" si="7"/>
        <v>3904187</v>
      </c>
      <c r="AB26" s="14">
        <f t="shared" si="7"/>
        <v>6983619</v>
      </c>
      <c r="AC26" s="14">
        <f t="shared" si="7"/>
        <v>3045404</v>
      </c>
      <c r="AD26" s="14">
        <f t="shared" si="7"/>
        <v>2175779</v>
      </c>
      <c r="AE26" s="14">
        <f t="shared" si="7"/>
        <v>4350808</v>
      </c>
      <c r="AF26" s="14">
        <f t="shared" si="7"/>
        <v>6364812</v>
      </c>
      <c r="AG26" s="14">
        <f t="shared" si="13"/>
        <v>7056267</v>
      </c>
      <c r="AH26" s="14">
        <f t="shared" si="13"/>
        <v>3617695</v>
      </c>
      <c r="AI26" s="14">
        <f t="shared" si="13"/>
        <v>4299155</v>
      </c>
      <c r="AJ26" s="14">
        <f t="shared" si="13"/>
        <v>7615327</v>
      </c>
      <c r="AK26" s="14">
        <f t="shared" si="13"/>
        <v>2669033</v>
      </c>
      <c r="AL26" s="14">
        <f t="shared" si="13"/>
        <v>4996839</v>
      </c>
      <c r="AM26" s="14">
        <f t="shared" si="13"/>
        <v>1070556</v>
      </c>
      <c r="AN26" s="14">
        <f t="shared" si="13"/>
        <v>3206640</v>
      </c>
      <c r="AO26" s="14">
        <f t="shared" si="13"/>
        <v>6570905</v>
      </c>
      <c r="AP26" s="14">
        <f t="shared" si="13"/>
        <v>7476697</v>
      </c>
      <c r="AQ26" s="14">
        <f t="shared" si="13"/>
        <v>6528417</v>
      </c>
    </row>
    <row r="27" spans="2:43">
      <c r="B27" s="6" t="s">
        <v>0</v>
      </c>
      <c r="C27" s="5">
        <v>709928</v>
      </c>
      <c r="D27" s="5" t="s">
        <v>1</v>
      </c>
      <c r="E27" s="5">
        <v>2270200</v>
      </c>
      <c r="F27" s="5" t="s">
        <v>2</v>
      </c>
      <c r="G27" s="5">
        <v>1374835</v>
      </c>
      <c r="H27" s="5" t="s">
        <v>1</v>
      </c>
      <c r="I27" s="5">
        <v>2000000</v>
      </c>
      <c r="J27" s="5">
        <f t="shared" si="3"/>
        <v>935107</v>
      </c>
      <c r="K27" s="9">
        <f t="shared" si="11"/>
        <v>270200</v>
      </c>
      <c r="L27" s="9">
        <f t="shared" si="4"/>
        <v>664907</v>
      </c>
      <c r="M27" s="9">
        <f t="shared" si="5"/>
        <v>45021</v>
      </c>
      <c r="N27" s="9">
        <f t="shared" si="6"/>
        <v>1374835</v>
      </c>
      <c r="O27" s="9">
        <f t="shared" si="12"/>
        <v>1329815</v>
      </c>
      <c r="Q27" s="14">
        <f t="shared" si="7"/>
        <v>1624215</v>
      </c>
      <c r="R27" s="14">
        <f t="shared" si="7"/>
        <v>3257882</v>
      </c>
      <c r="S27" s="14">
        <f t="shared" si="7"/>
        <v>3489403</v>
      </c>
      <c r="T27" s="14">
        <f t="shared" si="7"/>
        <v>2255997</v>
      </c>
      <c r="U27" s="14">
        <f t="shared" si="7"/>
        <v>3580528</v>
      </c>
      <c r="V27" s="14">
        <f t="shared" si="7"/>
        <v>3850066</v>
      </c>
      <c r="W27" s="14">
        <f t="shared" si="7"/>
        <v>3792496</v>
      </c>
      <c r="X27" s="14">
        <f t="shared" si="7"/>
        <v>2437845</v>
      </c>
      <c r="Y27" s="14">
        <f t="shared" si="7"/>
        <v>2774562</v>
      </c>
      <c r="Z27" s="14">
        <f t="shared" si="7"/>
        <v>3815012</v>
      </c>
      <c r="AA27" s="14">
        <f t="shared" si="7"/>
        <v>2359078</v>
      </c>
      <c r="AB27" s="14">
        <f t="shared" si="7"/>
        <v>3382272</v>
      </c>
      <c r="AC27" s="14">
        <f t="shared" si="7"/>
        <v>3432987</v>
      </c>
      <c r="AD27" s="14">
        <f t="shared" si="7"/>
        <v>1425568</v>
      </c>
      <c r="AE27" s="14">
        <f t="shared" si="7"/>
        <v>3672197</v>
      </c>
      <c r="AF27" s="14">
        <f t="shared" si="7"/>
        <v>2763465</v>
      </c>
      <c r="AG27" s="14">
        <f t="shared" si="13"/>
        <v>3454920</v>
      </c>
      <c r="AH27" s="14">
        <f t="shared" si="13"/>
        <v>3732748</v>
      </c>
      <c r="AI27" s="14">
        <f t="shared" si="13"/>
        <v>4246750</v>
      </c>
      <c r="AJ27" s="14">
        <f t="shared" si="13"/>
        <v>4013980</v>
      </c>
      <c r="AK27" s="14">
        <f t="shared" si="13"/>
        <v>1706566</v>
      </c>
      <c r="AL27" s="14">
        <f t="shared" si="13"/>
        <v>1395492</v>
      </c>
      <c r="AM27" s="14">
        <f t="shared" si="13"/>
        <v>3093493</v>
      </c>
      <c r="AN27" s="14">
        <f t="shared" si="13"/>
        <v>935107</v>
      </c>
      <c r="AO27" s="14">
        <f t="shared" si="13"/>
        <v>2969558</v>
      </c>
      <c r="AP27" s="14">
        <f t="shared" si="13"/>
        <v>3875350</v>
      </c>
      <c r="AQ27" s="14">
        <f t="shared" si="13"/>
        <v>2927070</v>
      </c>
    </row>
    <row r="28" spans="2:43">
      <c r="B28" s="6" t="s">
        <v>0</v>
      </c>
      <c r="C28" s="5">
        <v>3673956</v>
      </c>
      <c r="D28" s="5" t="s">
        <v>1</v>
      </c>
      <c r="E28" s="5">
        <v>2670437</v>
      </c>
      <c r="F28" s="5" t="s">
        <v>2</v>
      </c>
      <c r="G28" s="5">
        <v>4029651</v>
      </c>
      <c r="H28" s="5" t="s">
        <v>1</v>
      </c>
      <c r="I28" s="5">
        <v>2547743</v>
      </c>
      <c r="J28" s="5">
        <f t="shared" si="3"/>
        <v>478389</v>
      </c>
      <c r="K28" s="9" t="str">
        <f t="shared" si="11"/>
        <v/>
      </c>
      <c r="L28" s="9" t="str">
        <f t="shared" si="4"/>
        <v/>
      </c>
      <c r="M28" s="9">
        <f t="shared" si="5"/>
        <v>0</v>
      </c>
      <c r="N28" s="9">
        <f t="shared" si="6"/>
        <v>0</v>
      </c>
      <c r="O28" s="9">
        <f t="shared" si="12"/>
        <v>0</v>
      </c>
      <c r="Q28" s="14">
        <f t="shared" si="7"/>
        <v>3731288</v>
      </c>
      <c r="R28" s="14">
        <f t="shared" si="7"/>
        <v>2752289</v>
      </c>
      <c r="S28" s="14">
        <f t="shared" si="7"/>
        <v>1521664</v>
      </c>
      <c r="T28" s="14">
        <f t="shared" si="7"/>
        <v>946562</v>
      </c>
      <c r="U28" s="14">
        <f t="shared" si="7"/>
        <v>471217</v>
      </c>
      <c r="V28" s="14">
        <f t="shared" si="7"/>
        <v>1963607</v>
      </c>
      <c r="W28" s="14">
        <f t="shared" si="7"/>
        <v>2300015</v>
      </c>
      <c r="X28" s="14">
        <f t="shared" ref="X28:AF30" si="14">ABS($G28-X$2)+ABS($I28-X$3)</f>
        <v>1757338</v>
      </c>
      <c r="Y28" s="14">
        <f t="shared" si="14"/>
        <v>427997</v>
      </c>
      <c r="Z28" s="14">
        <f t="shared" si="14"/>
        <v>750703</v>
      </c>
      <c r="AA28" s="14">
        <f t="shared" si="14"/>
        <v>4466151</v>
      </c>
      <c r="AB28" s="14">
        <f t="shared" si="14"/>
        <v>967849</v>
      </c>
      <c r="AC28" s="14">
        <f t="shared" si="14"/>
        <v>3758502</v>
      </c>
      <c r="AD28" s="14">
        <f t="shared" si="14"/>
        <v>4628127</v>
      </c>
      <c r="AE28" s="14">
        <f t="shared" si="14"/>
        <v>2453098</v>
      </c>
      <c r="AF28" s="14">
        <f t="shared" si="14"/>
        <v>439094</v>
      </c>
      <c r="AG28" s="14">
        <f t="shared" si="13"/>
        <v>318487</v>
      </c>
      <c r="AH28" s="14">
        <f t="shared" si="13"/>
        <v>3186211</v>
      </c>
      <c r="AI28" s="14">
        <f t="shared" si="13"/>
        <v>2504751</v>
      </c>
      <c r="AJ28" s="14">
        <f t="shared" si="13"/>
        <v>1533249</v>
      </c>
      <c r="AK28" s="14">
        <f t="shared" si="13"/>
        <v>4134873</v>
      </c>
      <c r="AL28" s="14">
        <f t="shared" si="13"/>
        <v>1807067</v>
      </c>
      <c r="AM28" s="14">
        <f t="shared" si="13"/>
        <v>6296052</v>
      </c>
      <c r="AN28" s="14">
        <f t="shared" si="13"/>
        <v>3597266</v>
      </c>
      <c r="AO28" s="14">
        <f t="shared" si="13"/>
        <v>478389</v>
      </c>
      <c r="AP28" s="14">
        <f t="shared" si="13"/>
        <v>2230177</v>
      </c>
      <c r="AQ28" s="14">
        <f t="shared" si="13"/>
        <v>1764739</v>
      </c>
    </row>
    <row r="29" spans="2:43">
      <c r="B29" s="6" t="s">
        <v>0</v>
      </c>
      <c r="C29" s="5">
        <v>3250958</v>
      </c>
      <c r="D29" s="5" t="s">
        <v>1</v>
      </c>
      <c r="E29" s="5">
        <v>3999227</v>
      </c>
      <c r="F29" s="5" t="s">
        <v>2</v>
      </c>
      <c r="G29" s="5">
        <v>3184941</v>
      </c>
      <c r="H29" s="5" t="s">
        <v>1</v>
      </c>
      <c r="I29" s="5">
        <v>3924923</v>
      </c>
      <c r="J29" s="5">
        <f t="shared" si="3"/>
        <v>140321</v>
      </c>
      <c r="K29" s="9" t="str">
        <f t="shared" si="11"/>
        <v/>
      </c>
      <c r="L29" s="9" t="str">
        <f t="shared" si="4"/>
        <v/>
      </c>
      <c r="M29" s="9">
        <f t="shared" si="5"/>
        <v>0</v>
      </c>
      <c r="N29" s="9">
        <f t="shared" si="6"/>
        <v>0</v>
      </c>
      <c r="O29" s="9">
        <f t="shared" si="12"/>
        <v>0</v>
      </c>
      <c r="Q29" s="14">
        <f t="shared" ref="Q29:W30" si="15">ABS($G29-Q$2)+ABS($I29-Q$3)</f>
        <v>2207352</v>
      </c>
      <c r="R29" s="14">
        <f t="shared" si="15"/>
        <v>530399</v>
      </c>
      <c r="S29" s="14">
        <f t="shared" si="15"/>
        <v>3604220</v>
      </c>
      <c r="T29" s="14">
        <f t="shared" si="15"/>
        <v>1479032</v>
      </c>
      <c r="U29" s="14">
        <f t="shared" si="15"/>
        <v>1750673</v>
      </c>
      <c r="V29" s="14">
        <f t="shared" si="15"/>
        <v>258283</v>
      </c>
      <c r="W29" s="14">
        <f t="shared" si="15"/>
        <v>78125</v>
      </c>
      <c r="X29" s="14">
        <f t="shared" si="14"/>
        <v>2552662</v>
      </c>
      <c r="Y29" s="14">
        <f t="shared" si="14"/>
        <v>2226947</v>
      </c>
      <c r="Z29" s="14">
        <f t="shared" si="14"/>
        <v>1471187</v>
      </c>
      <c r="AA29" s="14">
        <f t="shared" si="14"/>
        <v>4003561</v>
      </c>
      <c r="AB29" s="14">
        <f t="shared" si="14"/>
        <v>1254041</v>
      </c>
      <c r="AC29" s="14">
        <f t="shared" si="14"/>
        <v>4290972</v>
      </c>
      <c r="AD29" s="14">
        <f t="shared" si="14"/>
        <v>5160597</v>
      </c>
      <c r="AE29" s="14">
        <f t="shared" si="14"/>
        <v>3787014</v>
      </c>
      <c r="AF29" s="14">
        <f t="shared" si="14"/>
        <v>2560990</v>
      </c>
      <c r="AG29" s="14">
        <f t="shared" si="13"/>
        <v>1903403</v>
      </c>
      <c r="AH29" s="14">
        <f t="shared" si="13"/>
        <v>3847565</v>
      </c>
      <c r="AI29" s="14">
        <f t="shared" si="13"/>
        <v>4361567</v>
      </c>
      <c r="AJ29" s="14">
        <f t="shared" si="13"/>
        <v>688641</v>
      </c>
      <c r="AK29" s="14">
        <f t="shared" si="13"/>
        <v>4667343</v>
      </c>
      <c r="AL29" s="14">
        <f t="shared" si="13"/>
        <v>2339537</v>
      </c>
      <c r="AM29" s="14">
        <f t="shared" si="13"/>
        <v>6828522</v>
      </c>
      <c r="AN29" s="14">
        <f t="shared" si="13"/>
        <v>4129736</v>
      </c>
      <c r="AO29" s="14">
        <f t="shared" si="13"/>
        <v>1743501</v>
      </c>
      <c r="AP29" s="14">
        <f t="shared" si="13"/>
        <v>140321</v>
      </c>
      <c r="AQ29" s="14">
        <f t="shared" si="13"/>
        <v>807959</v>
      </c>
    </row>
    <row r="30" spans="2:43">
      <c r="B30" s="6" t="s">
        <v>0</v>
      </c>
      <c r="C30" s="5">
        <v>3009537</v>
      </c>
      <c r="D30" s="5" t="s">
        <v>1</v>
      </c>
      <c r="E30" s="5">
        <v>3292368</v>
      </c>
      <c r="F30" s="5" t="s">
        <v>2</v>
      </c>
      <c r="G30" s="5">
        <v>3184941</v>
      </c>
      <c r="H30" s="5" t="s">
        <v>1</v>
      </c>
      <c r="I30" s="5">
        <v>3924923</v>
      </c>
      <c r="J30" s="5">
        <f t="shared" si="3"/>
        <v>807959</v>
      </c>
      <c r="K30" s="9" t="str">
        <f t="shared" si="11"/>
        <v/>
      </c>
      <c r="L30" s="9" t="str">
        <f t="shared" si="4"/>
        <v/>
      </c>
      <c r="M30" s="9">
        <f t="shared" si="5"/>
        <v>0</v>
      </c>
      <c r="N30" s="9">
        <f t="shared" si="6"/>
        <v>0</v>
      </c>
      <c r="O30" s="9">
        <f t="shared" si="12"/>
        <v>0</v>
      </c>
      <c r="Q30" s="14">
        <f t="shared" si="15"/>
        <v>2207352</v>
      </c>
      <c r="R30" s="14">
        <f t="shared" si="15"/>
        <v>530399</v>
      </c>
      <c r="S30" s="14">
        <f t="shared" si="15"/>
        <v>3604220</v>
      </c>
      <c r="T30" s="14">
        <f t="shared" si="15"/>
        <v>1479032</v>
      </c>
      <c r="U30" s="14">
        <f t="shared" si="15"/>
        <v>1750673</v>
      </c>
      <c r="V30" s="14">
        <f t="shared" si="15"/>
        <v>258283</v>
      </c>
      <c r="W30" s="14">
        <f t="shared" si="15"/>
        <v>78125</v>
      </c>
      <c r="X30" s="14">
        <f t="shared" si="14"/>
        <v>2552662</v>
      </c>
      <c r="Y30" s="14">
        <f t="shared" si="14"/>
        <v>2226947</v>
      </c>
      <c r="Z30" s="14">
        <f t="shared" si="14"/>
        <v>1471187</v>
      </c>
      <c r="AA30" s="14">
        <f t="shared" si="14"/>
        <v>4003561</v>
      </c>
      <c r="AB30" s="14">
        <f t="shared" si="14"/>
        <v>1254041</v>
      </c>
      <c r="AC30" s="14">
        <f t="shared" si="14"/>
        <v>4290972</v>
      </c>
      <c r="AD30" s="14">
        <f t="shared" si="14"/>
        <v>5160597</v>
      </c>
      <c r="AE30" s="14">
        <f t="shared" si="14"/>
        <v>3787014</v>
      </c>
      <c r="AF30" s="14">
        <f t="shared" si="14"/>
        <v>2560990</v>
      </c>
      <c r="AG30" s="14">
        <f t="shared" si="13"/>
        <v>1903403</v>
      </c>
      <c r="AH30" s="14">
        <f t="shared" si="13"/>
        <v>3847565</v>
      </c>
      <c r="AI30" s="14">
        <f t="shared" si="13"/>
        <v>4361567</v>
      </c>
      <c r="AJ30" s="14">
        <f t="shared" si="13"/>
        <v>688641</v>
      </c>
      <c r="AK30" s="14">
        <f t="shared" si="13"/>
        <v>4667343</v>
      </c>
      <c r="AL30" s="14">
        <f t="shared" si="13"/>
        <v>2339537</v>
      </c>
      <c r="AM30" s="14">
        <f t="shared" si="13"/>
        <v>6828522</v>
      </c>
      <c r="AN30" s="14">
        <f t="shared" si="13"/>
        <v>4129736</v>
      </c>
      <c r="AO30" s="14">
        <f t="shared" si="13"/>
        <v>1743501</v>
      </c>
      <c r="AP30" s="14">
        <f t="shared" si="13"/>
        <v>140321</v>
      </c>
      <c r="AQ30" s="14">
        <f t="shared" si="13"/>
        <v>807959</v>
      </c>
    </row>
    <row r="32" spans="2:43">
      <c r="B32" s="6" t="s">
        <v>6</v>
      </c>
      <c r="C32" s="5">
        <f>MAX(C4:C30)</f>
        <v>3996588</v>
      </c>
      <c r="E32" s="5">
        <f>MAX(E4:E30)</f>
        <v>3999227</v>
      </c>
      <c r="G32" s="5">
        <f>MAX(G4:G30)</f>
        <v>4029651</v>
      </c>
      <c r="I32" s="5">
        <f>MAX(I4:I30)</f>
        <v>3924923</v>
      </c>
      <c r="M32" s="5">
        <f>MAX(M4:M30)</f>
        <v>3699272</v>
      </c>
      <c r="N32" s="5">
        <f>MAX(N4:N30)</f>
        <v>4537988</v>
      </c>
      <c r="O32" s="5">
        <f>SUM(O4:O30)</f>
        <v>9524624</v>
      </c>
    </row>
    <row r="33" spans="2:14">
      <c r="B33" s="6" t="s">
        <v>7</v>
      </c>
      <c r="C33" s="5">
        <f>MIN(C4:C30)</f>
        <v>61030</v>
      </c>
      <c r="E33" s="5">
        <f>MIN(E4:E30)</f>
        <v>5535</v>
      </c>
      <c r="G33" s="5">
        <f>MIN(G4:G30)</f>
        <v>-467419</v>
      </c>
      <c r="I33" s="5">
        <f>MIN(I4:I30)</f>
        <v>-573228</v>
      </c>
      <c r="M33" s="5">
        <f>MIN(M4:M30)</f>
        <v>-609345</v>
      </c>
      <c r="N33" s="5">
        <f>MIN(N4:N30)</f>
        <v>0</v>
      </c>
    </row>
    <row r="35" spans="2:14">
      <c r="M35" s="10" t="s">
        <v>12</v>
      </c>
      <c r="N35" s="10">
        <f>N32-M33</f>
        <v>5147333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C3D18-11CE-C242-9242-FFCD5111A9F4}">
  <sheetPr codeName="Sheet4"/>
  <dimension ref="A1:U42"/>
  <sheetViews>
    <sheetView workbookViewId="0">
      <selection activeCell="A4" sqref="A4"/>
    </sheetView>
  </sheetViews>
  <sheetFormatPr baseColWidth="10" defaultRowHeight="15.75"/>
  <cols>
    <col min="2" max="2" width="14.875" bestFit="1" customWidth="1"/>
    <col min="3" max="3" width="8.125" bestFit="1" customWidth="1"/>
    <col min="4" max="4" width="2.5" bestFit="1" customWidth="1"/>
    <col min="5" max="5" width="8.125" bestFit="1" customWidth="1"/>
    <col min="6" max="6" width="19.125" bestFit="1" customWidth="1"/>
    <col min="7" max="7" width="8.875" bestFit="1" customWidth="1"/>
    <col min="8" max="8" width="2.5" bestFit="1" customWidth="1"/>
  </cols>
  <sheetData>
    <row r="1" spans="1:21">
      <c r="A1" s="2" t="s">
        <v>13</v>
      </c>
      <c r="B1" s="3">
        <v>13734006908372</v>
      </c>
      <c r="C1">
        <v>3</v>
      </c>
      <c r="D1">
        <f t="shared" ref="D1:J1" si="0">C1+1</f>
        <v>4</v>
      </c>
      <c r="E1">
        <f t="shared" si="0"/>
        <v>5</v>
      </c>
      <c r="F1">
        <f t="shared" si="0"/>
        <v>6</v>
      </c>
      <c r="G1">
        <f t="shared" si="0"/>
        <v>7</v>
      </c>
      <c r="H1">
        <f t="shared" si="0"/>
        <v>8</v>
      </c>
      <c r="I1">
        <f t="shared" si="0"/>
        <v>9</v>
      </c>
      <c r="J1">
        <f t="shared" si="0"/>
        <v>10</v>
      </c>
      <c r="K1">
        <v>3367718</v>
      </c>
      <c r="L1">
        <f>J1+2</f>
        <v>12</v>
      </c>
      <c r="M1">
        <f>L1+1</f>
        <v>13</v>
      </c>
      <c r="N1">
        <f>M1+1</f>
        <v>14</v>
      </c>
      <c r="O1">
        <f>N1+1</f>
        <v>15</v>
      </c>
      <c r="P1">
        <f t="shared" ref="P1:T1" si="1">O1+1</f>
        <v>16</v>
      </c>
      <c r="Q1">
        <f t="shared" si="1"/>
        <v>17</v>
      </c>
      <c r="R1">
        <f t="shared" si="1"/>
        <v>18</v>
      </c>
      <c r="S1">
        <f t="shared" si="1"/>
        <v>19</v>
      </c>
      <c r="T1">
        <f t="shared" si="1"/>
        <v>20</v>
      </c>
    </row>
    <row r="2" spans="1:21">
      <c r="E2" t="s">
        <v>5</v>
      </c>
      <c r="F2" t="s">
        <v>3</v>
      </c>
      <c r="J2" t="s">
        <v>8</v>
      </c>
      <c r="M2" t="s">
        <v>9</v>
      </c>
      <c r="N2" t="s">
        <v>10</v>
      </c>
    </row>
    <row r="3" spans="1:21">
      <c r="F3" t="s">
        <v>4</v>
      </c>
      <c r="P3" s="14"/>
      <c r="Q3" s="14"/>
      <c r="R3" s="14"/>
      <c r="S3" s="14"/>
      <c r="T3" s="14"/>
      <c r="U3" s="14"/>
    </row>
    <row r="4" spans="1:21">
      <c r="B4" s="12" t="str">
        <f>'Part 1'!B4</f>
        <v>Sensor at x</v>
      </c>
      <c r="C4" s="12">
        <f>'Part 1'!C4</f>
        <v>1326566</v>
      </c>
      <c r="D4" s="12" t="str">
        <f>'Part 1'!D4</f>
        <v xml:space="preserve"> y</v>
      </c>
      <c r="E4" s="12">
        <f>'Part 1'!E4</f>
        <v>3575946</v>
      </c>
      <c r="F4" s="12" t="str">
        <f>'Part 1'!F4</f>
        <v xml:space="preserve"> closest beacon is at x</v>
      </c>
      <c r="G4" s="12">
        <f>'Part 1'!G4</f>
        <v>1374835</v>
      </c>
      <c r="H4" s="12" t="str">
        <f>'Part 1'!H4</f>
        <v xml:space="preserve"> y</v>
      </c>
      <c r="I4" s="12">
        <f>'Part 1'!I4</f>
        <v>2000000</v>
      </c>
      <c r="J4" s="12">
        <f>'Part 1'!J4</f>
        <v>1624215</v>
      </c>
      <c r="K4" s="13">
        <f t="shared" ref="K4:K30" si="2">IF(ABS($K$1-E4)-J4&lt;0,ABS($K$1-E4),"")</f>
        <v>208228</v>
      </c>
      <c r="L4" s="13">
        <f>IF(K4&lt;&gt;"",J4-K4,"")</f>
        <v>1415987</v>
      </c>
      <c r="M4" s="12">
        <f>IF(K4&lt;&gt;"",IF(C4-L4&gt;0,C4-L4,0),0)</f>
        <v>0</v>
      </c>
      <c r="N4" s="12">
        <f>IF(K4&lt;&gt;"",IF(C4+L4&gt;4000000,4000000,C4+L4),0)</f>
        <v>2742553</v>
      </c>
      <c r="P4" s="14"/>
      <c r="Q4" s="14">
        <v>0</v>
      </c>
      <c r="R4" s="14">
        <v>0</v>
      </c>
      <c r="S4" s="14">
        <v>2213193</v>
      </c>
      <c r="T4" s="14">
        <v>367172</v>
      </c>
      <c r="U4" s="14"/>
    </row>
    <row r="5" spans="1:21" s="8" customFormat="1">
      <c r="A5"/>
      <c r="B5" s="12" t="str">
        <f>'Part 1'!B5</f>
        <v>Sensor at x</v>
      </c>
      <c r="C5" s="12">
        <f>'Part 1'!C5</f>
        <v>2681168</v>
      </c>
      <c r="D5" s="12" t="str">
        <f>'Part 1'!D5</f>
        <v xml:space="preserve"> y</v>
      </c>
      <c r="E5" s="12">
        <f>'Part 1'!E5</f>
        <v>3951549</v>
      </c>
      <c r="F5" s="12" t="str">
        <f>'Part 1'!F5</f>
        <v xml:space="preserve"> closest beacon is at x</v>
      </c>
      <c r="G5" s="12">
        <f>'Part 1'!G5</f>
        <v>3184941</v>
      </c>
      <c r="H5" s="12" t="str">
        <f>'Part 1'!H5</f>
        <v xml:space="preserve"> y</v>
      </c>
      <c r="I5" s="12">
        <f>'Part 1'!I5</f>
        <v>3924923</v>
      </c>
      <c r="J5" s="12">
        <f>'Part 1'!J5</f>
        <v>530399</v>
      </c>
      <c r="K5" s="13" t="str">
        <f t="shared" si="2"/>
        <v/>
      </c>
      <c r="L5" s="13" t="str">
        <f t="shared" ref="L5:L30" si="3">IF(K5&lt;&gt;"",J5-K5,"")</f>
        <v/>
      </c>
      <c r="M5" s="12">
        <f t="shared" ref="M5:M30" si="4">IF(K5&lt;&gt;"",IF(C5-L5&gt;0,C5-L5,0),0)</f>
        <v>0</v>
      </c>
      <c r="N5" s="12">
        <f t="shared" ref="N5:N30" si="5">IF(K5&lt;&gt;"",IF(C5+L5&gt;4000000,4000000,C5+L5),0)</f>
        <v>0</v>
      </c>
      <c r="O5"/>
      <c r="P5" s="15"/>
      <c r="Q5" s="15">
        <v>0</v>
      </c>
      <c r="R5" s="15">
        <v>0</v>
      </c>
      <c r="S5" s="15">
        <v>2213193</v>
      </c>
      <c r="T5" s="15">
        <v>0</v>
      </c>
      <c r="U5" s="15"/>
    </row>
    <row r="6" spans="1:21">
      <c r="B6" s="12" t="str">
        <f>'Part 1'!B6</f>
        <v>Sensor at x</v>
      </c>
      <c r="C6" s="12">
        <f>'Part 1'!C6</f>
        <v>3959984</v>
      </c>
      <c r="D6" s="12" t="str">
        <f>'Part 1'!D6</f>
        <v xml:space="preserve"> y</v>
      </c>
      <c r="E6" s="12">
        <f>'Part 1'!E6</f>
        <v>1095746</v>
      </c>
      <c r="F6" s="12" t="str">
        <f>'Part 1'!F6</f>
        <v xml:space="preserve"> closest beacon is at x</v>
      </c>
      <c r="G6" s="12">
        <f>'Part 1'!G6</f>
        <v>3621412</v>
      </c>
      <c r="H6" s="12" t="str">
        <f>'Part 1'!H6</f>
        <v xml:space="preserve"> y</v>
      </c>
      <c r="I6" s="12">
        <f>'Part 1'!I6</f>
        <v>2239432</v>
      </c>
      <c r="J6" s="12">
        <f>'Part 1'!J6</f>
        <v>1482258</v>
      </c>
      <c r="K6" s="13" t="str">
        <f t="shared" si="2"/>
        <v/>
      </c>
      <c r="L6" s="13" t="str">
        <f t="shared" si="3"/>
        <v/>
      </c>
      <c r="M6" s="12">
        <f t="shared" si="4"/>
        <v>0</v>
      </c>
      <c r="N6" s="12">
        <f t="shared" si="5"/>
        <v>0</v>
      </c>
      <c r="P6" s="14"/>
      <c r="Q6" s="14">
        <v>0</v>
      </c>
      <c r="R6" s="14">
        <v>0</v>
      </c>
      <c r="S6" s="14">
        <v>2213193</v>
      </c>
      <c r="T6" s="14">
        <v>146976</v>
      </c>
      <c r="U6" s="14"/>
    </row>
    <row r="7" spans="1:21">
      <c r="B7" s="12" t="str">
        <f>'Part 1'!B7</f>
        <v>Sensor at x</v>
      </c>
      <c r="C7" s="12">
        <f>'Part 1'!C7</f>
        <v>3150886</v>
      </c>
      <c r="D7" s="12" t="str">
        <f>'Part 1'!D7</f>
        <v xml:space="preserve"> y</v>
      </c>
      <c r="E7" s="12">
        <f>'Part 1'!E7</f>
        <v>2479946</v>
      </c>
      <c r="F7" s="12" t="str">
        <f>'Part 1'!F7</f>
        <v xml:space="preserve"> closest beacon is at x</v>
      </c>
      <c r="G7" s="12">
        <f>'Part 1'!G7</f>
        <v>3621412</v>
      </c>
      <c r="H7" s="12" t="str">
        <f>'Part 1'!H7</f>
        <v xml:space="preserve"> y</v>
      </c>
      <c r="I7" s="12">
        <f>'Part 1'!I7</f>
        <v>2239432</v>
      </c>
      <c r="J7" s="12">
        <f>'Part 1'!J7</f>
        <v>711040</v>
      </c>
      <c r="K7" s="13" t="str">
        <f t="shared" si="2"/>
        <v/>
      </c>
      <c r="L7" s="13" t="str">
        <f t="shared" si="3"/>
        <v/>
      </c>
      <c r="M7" s="12">
        <f t="shared" si="4"/>
        <v>0</v>
      </c>
      <c r="N7" s="12">
        <f t="shared" si="5"/>
        <v>0</v>
      </c>
      <c r="P7" s="14"/>
      <c r="Q7" s="14">
        <v>0</v>
      </c>
      <c r="R7" s="14">
        <v>0</v>
      </c>
      <c r="S7" s="14">
        <v>2213193</v>
      </c>
      <c r="T7" s="14">
        <v>0</v>
      </c>
      <c r="U7" s="14"/>
    </row>
    <row r="8" spans="1:21">
      <c r="B8" s="12" t="str">
        <f>'Part 1'!B8</f>
        <v>Sensor at x</v>
      </c>
      <c r="C8" s="12">
        <f>'Part 1'!C8</f>
        <v>3983027</v>
      </c>
      <c r="D8" s="12" t="str">
        <f>'Part 1'!D8</f>
        <v xml:space="preserve"> y</v>
      </c>
      <c r="E8" s="12">
        <f>'Part 1'!E8</f>
        <v>2972336</v>
      </c>
      <c r="F8" s="12" t="str">
        <f>'Part 1'!F8</f>
        <v xml:space="preserve"> closest beacon is at x</v>
      </c>
      <c r="G8" s="12">
        <f>'Part 1'!G8</f>
        <v>4012908</v>
      </c>
      <c r="H8" s="12" t="str">
        <f>'Part 1'!H8</f>
        <v xml:space="preserve"> y</v>
      </c>
      <c r="I8" s="12">
        <f>'Part 1'!I8</f>
        <v>3083616</v>
      </c>
      <c r="J8" s="12">
        <f>'Part 1'!J8</f>
        <v>141161</v>
      </c>
      <c r="K8" s="13" t="str">
        <f t="shared" si="2"/>
        <v/>
      </c>
      <c r="L8" s="13" t="str">
        <f t="shared" si="3"/>
        <v/>
      </c>
      <c r="M8" s="12">
        <f t="shared" si="4"/>
        <v>0</v>
      </c>
      <c r="N8" s="12">
        <f t="shared" si="5"/>
        <v>0</v>
      </c>
      <c r="P8" s="14"/>
      <c r="Q8" s="14">
        <v>0</v>
      </c>
      <c r="R8" s="14">
        <v>0</v>
      </c>
      <c r="S8" s="14">
        <v>2213193</v>
      </c>
      <c r="T8" s="14">
        <v>0</v>
      </c>
      <c r="U8" s="14"/>
    </row>
    <row r="9" spans="1:21">
      <c r="B9" s="12" t="str">
        <f>'Part 1'!B9</f>
        <v>Sensor at x</v>
      </c>
      <c r="C9" s="12">
        <f>'Part 1'!C9</f>
        <v>3371601</v>
      </c>
      <c r="D9" s="12" t="str">
        <f>'Part 1'!D9</f>
        <v xml:space="preserve"> y</v>
      </c>
      <c r="E9" s="12">
        <f>'Part 1'!E9</f>
        <v>3853300</v>
      </c>
      <c r="F9" s="12" t="str">
        <f>'Part 1'!F9</f>
        <v xml:space="preserve"> closest beacon is at x</v>
      </c>
      <c r="G9" s="12">
        <f>'Part 1'!G9</f>
        <v>3184941</v>
      </c>
      <c r="H9" s="12" t="str">
        <f>'Part 1'!H9</f>
        <v xml:space="preserve"> y</v>
      </c>
      <c r="I9" s="12">
        <f>'Part 1'!I9</f>
        <v>3924923</v>
      </c>
      <c r="J9" s="12">
        <f>'Part 1'!J9</f>
        <v>258283</v>
      </c>
      <c r="K9" s="13" t="str">
        <f t="shared" si="2"/>
        <v/>
      </c>
      <c r="L9" s="13" t="str">
        <f t="shared" si="3"/>
        <v/>
      </c>
      <c r="M9" s="12">
        <f t="shared" si="4"/>
        <v>0</v>
      </c>
      <c r="N9" s="12">
        <f t="shared" si="5"/>
        <v>0</v>
      </c>
      <c r="P9" s="14"/>
      <c r="Q9" s="14">
        <v>0</v>
      </c>
      <c r="R9" s="14">
        <v>0</v>
      </c>
      <c r="S9" s="14">
        <v>2213193</v>
      </c>
      <c r="T9" s="14">
        <v>0</v>
      </c>
      <c r="U9" s="14"/>
    </row>
    <row r="10" spans="1:21" s="7" customFormat="1">
      <c r="A10"/>
      <c r="B10" s="12" t="str">
        <f>'Part 1'!B10</f>
        <v>Sensor at x</v>
      </c>
      <c r="C10" s="12">
        <f>'Part 1'!C10</f>
        <v>3174612</v>
      </c>
      <c r="D10" s="12" t="str">
        <f>'Part 1'!D10</f>
        <v xml:space="preserve"> y</v>
      </c>
      <c r="E10" s="12">
        <f>'Part 1'!E10</f>
        <v>3992719</v>
      </c>
      <c r="F10" s="12" t="str">
        <f>'Part 1'!F10</f>
        <v xml:space="preserve"> closest beacon is at x</v>
      </c>
      <c r="G10" s="12">
        <f>'Part 1'!G10</f>
        <v>3184941</v>
      </c>
      <c r="H10" s="12" t="str">
        <f>'Part 1'!H10</f>
        <v xml:space="preserve"> y</v>
      </c>
      <c r="I10" s="12">
        <f>'Part 1'!I10</f>
        <v>3924923</v>
      </c>
      <c r="J10" s="12">
        <f>'Part 1'!J10</f>
        <v>78125</v>
      </c>
      <c r="K10" s="13" t="str">
        <f t="shared" si="2"/>
        <v/>
      </c>
      <c r="L10" s="13" t="str">
        <f t="shared" si="3"/>
        <v/>
      </c>
      <c r="M10" s="12">
        <f t="shared" si="4"/>
        <v>0</v>
      </c>
      <c r="N10" s="12">
        <f t="shared" si="5"/>
        <v>0</v>
      </c>
      <c r="O10"/>
      <c r="P10" s="9"/>
      <c r="Q10" s="14">
        <v>0</v>
      </c>
      <c r="R10" s="9">
        <v>0</v>
      </c>
      <c r="S10" s="9">
        <v>2213193</v>
      </c>
      <c r="T10" s="9">
        <v>0</v>
      </c>
      <c r="U10" s="9"/>
    </row>
    <row r="11" spans="1:21">
      <c r="B11" s="12" t="str">
        <f>'Part 1'!B11</f>
        <v>Sensor at x</v>
      </c>
      <c r="C11" s="12">
        <f>'Part 1'!C11</f>
        <v>3316368</v>
      </c>
      <c r="D11" s="12" t="str">
        <f>'Part 1'!D11</f>
        <v xml:space="preserve"> y</v>
      </c>
      <c r="E11" s="12">
        <f>'Part 1'!E11</f>
        <v>1503688</v>
      </c>
      <c r="F11" s="12" t="str">
        <f>'Part 1'!F11</f>
        <v xml:space="preserve"> closest beacon is at x</v>
      </c>
      <c r="G11" s="12">
        <f>'Part 1'!G11</f>
        <v>3621412</v>
      </c>
      <c r="H11" s="12" t="str">
        <f>'Part 1'!H11</f>
        <v xml:space="preserve"> y</v>
      </c>
      <c r="I11" s="12">
        <f>'Part 1'!I11</f>
        <v>2239432</v>
      </c>
      <c r="J11" s="12">
        <f>'Part 1'!J11</f>
        <v>1040788</v>
      </c>
      <c r="K11" s="13" t="str">
        <f t="shared" si="2"/>
        <v/>
      </c>
      <c r="L11" s="13" t="str">
        <f t="shared" si="3"/>
        <v/>
      </c>
      <c r="M11" s="12">
        <f t="shared" si="4"/>
        <v>0</v>
      </c>
      <c r="N11" s="12">
        <f t="shared" si="5"/>
        <v>0</v>
      </c>
      <c r="P11" s="14"/>
      <c r="Q11" s="14">
        <v>0</v>
      </c>
      <c r="R11" s="14">
        <v>0</v>
      </c>
      <c r="S11" s="14">
        <v>2213193</v>
      </c>
      <c r="T11" s="14">
        <v>270435</v>
      </c>
      <c r="U11" s="14"/>
    </row>
    <row r="12" spans="1:21">
      <c r="B12" s="12" t="str">
        <f>'Part 1'!B12</f>
        <v>Sensor at x</v>
      </c>
      <c r="C12" s="12">
        <f>'Part 1'!C12</f>
        <v>3818181</v>
      </c>
      <c r="D12" s="12" t="str">
        <f>'Part 1'!D12</f>
        <v xml:space="preserve"> y</v>
      </c>
      <c r="E12" s="12">
        <f>'Part 1'!E12</f>
        <v>2331216</v>
      </c>
      <c r="F12" s="12" t="str">
        <f>'Part 1'!F12</f>
        <v xml:space="preserve"> closest beacon is at x</v>
      </c>
      <c r="G12" s="12">
        <f>'Part 1'!G12</f>
        <v>3621412</v>
      </c>
      <c r="H12" s="12" t="str">
        <f>'Part 1'!H12</f>
        <v xml:space="preserve"> y</v>
      </c>
      <c r="I12" s="12">
        <f>'Part 1'!I12</f>
        <v>2239432</v>
      </c>
      <c r="J12" s="12">
        <f>'Part 1'!J12</f>
        <v>288553</v>
      </c>
      <c r="K12" s="13" t="str">
        <f t="shared" si="2"/>
        <v/>
      </c>
      <c r="L12" s="13" t="str">
        <f t="shared" si="3"/>
        <v/>
      </c>
      <c r="M12" s="12">
        <f t="shared" si="4"/>
        <v>0</v>
      </c>
      <c r="N12" s="12">
        <f t="shared" si="5"/>
        <v>0</v>
      </c>
      <c r="P12" s="14"/>
      <c r="Q12" s="14">
        <v>0</v>
      </c>
      <c r="R12" s="14">
        <v>0</v>
      </c>
      <c r="S12" s="14">
        <v>2213193</v>
      </c>
      <c r="T12" s="14">
        <v>0</v>
      </c>
      <c r="U12" s="14"/>
    </row>
    <row r="13" spans="1:21">
      <c r="B13" s="12" t="str">
        <f>'Part 1'!B13</f>
        <v>Sensor at x</v>
      </c>
      <c r="C13" s="12">
        <f>'Part 1'!C13</f>
        <v>3960526</v>
      </c>
      <c r="D13" s="12" t="str">
        <f>'Part 1'!D13</f>
        <v xml:space="preserve"> y</v>
      </c>
      <c r="E13" s="12">
        <f>'Part 1'!E13</f>
        <v>3229321</v>
      </c>
      <c r="F13" s="12" t="str">
        <f>'Part 1'!F13</f>
        <v xml:space="preserve"> closest beacon is at x</v>
      </c>
      <c r="G13" s="12">
        <f>'Part 1'!G13</f>
        <v>4012908</v>
      </c>
      <c r="H13" s="12" t="str">
        <f>'Part 1'!H13</f>
        <v xml:space="preserve"> y</v>
      </c>
      <c r="I13" s="12">
        <f>'Part 1'!I13</f>
        <v>3083616</v>
      </c>
      <c r="J13" s="12">
        <f>'Part 1'!J13</f>
        <v>198087</v>
      </c>
      <c r="K13" s="13">
        <f t="shared" si="2"/>
        <v>138397</v>
      </c>
      <c r="L13" s="13">
        <f t="shared" si="3"/>
        <v>59690</v>
      </c>
      <c r="M13" s="12">
        <f t="shared" si="4"/>
        <v>3900836</v>
      </c>
      <c r="N13" s="12">
        <f t="shared" si="5"/>
        <v>4000000</v>
      </c>
      <c r="P13" s="14"/>
      <c r="Q13" s="14">
        <v>0</v>
      </c>
      <c r="R13" s="14">
        <v>0</v>
      </c>
      <c r="S13" s="14">
        <v>2213193</v>
      </c>
      <c r="T13" s="14">
        <v>316970</v>
      </c>
      <c r="U13" s="14"/>
    </row>
    <row r="14" spans="1:21">
      <c r="B14" s="12" t="str">
        <f>'Part 1'!B14</f>
        <v>Sensor at x</v>
      </c>
      <c r="C14" s="12">
        <f>'Part 1'!C14</f>
        <v>61030</v>
      </c>
      <c r="D14" s="12" t="str">
        <f>'Part 1'!D14</f>
        <v xml:space="preserve"> y</v>
      </c>
      <c r="E14" s="12">
        <f>'Part 1'!E14</f>
        <v>3045273</v>
      </c>
      <c r="F14" s="12" t="str">
        <f>'Part 1'!F14</f>
        <v xml:space="preserve"> closest beacon is at x</v>
      </c>
      <c r="G14" s="12">
        <f>'Part 1'!G14</f>
        <v>-467419</v>
      </c>
      <c r="H14" s="12" t="str">
        <f>'Part 1'!H14</f>
        <v xml:space="preserve"> y</v>
      </c>
      <c r="I14" s="12">
        <f>'Part 1'!I14</f>
        <v>2369316</v>
      </c>
      <c r="J14" s="12">
        <f>'Part 1'!J14</f>
        <v>1204406</v>
      </c>
      <c r="K14" s="13">
        <f t="shared" si="2"/>
        <v>322445</v>
      </c>
      <c r="L14" s="13">
        <f t="shared" si="3"/>
        <v>881961</v>
      </c>
      <c r="M14" s="12">
        <f t="shared" si="4"/>
        <v>0</v>
      </c>
      <c r="N14" s="12">
        <f t="shared" si="5"/>
        <v>942991</v>
      </c>
      <c r="P14" s="14"/>
      <c r="Q14" s="14">
        <v>0</v>
      </c>
      <c r="R14" s="14">
        <v>0</v>
      </c>
      <c r="S14" s="14">
        <v>2213193</v>
      </c>
      <c r="T14" s="14">
        <v>0</v>
      </c>
      <c r="U14" s="14"/>
    </row>
    <row r="15" spans="1:21">
      <c r="B15" s="12" t="str">
        <f>'Part 1'!B15</f>
        <v>Sensor at x</v>
      </c>
      <c r="C15" s="12">
        <f>'Part 1'!C15</f>
        <v>3635583</v>
      </c>
      <c r="D15" s="12" t="str">
        <f>'Part 1'!D15</f>
        <v xml:space="preserve"> y</v>
      </c>
      <c r="E15" s="12">
        <f>'Part 1'!E15</f>
        <v>3121524</v>
      </c>
      <c r="F15" s="12" t="str">
        <f>'Part 1'!F15</f>
        <v xml:space="preserve"> closest beacon is at x</v>
      </c>
      <c r="G15" s="12">
        <f>'Part 1'!G15</f>
        <v>4012908</v>
      </c>
      <c r="H15" s="12" t="str">
        <f>'Part 1'!H15</f>
        <v xml:space="preserve"> y</v>
      </c>
      <c r="I15" s="12">
        <f>'Part 1'!I15</f>
        <v>3083616</v>
      </c>
      <c r="J15" s="12">
        <f>'Part 1'!J15</f>
        <v>415233</v>
      </c>
      <c r="K15" s="13">
        <f t="shared" si="2"/>
        <v>246194</v>
      </c>
      <c r="L15" s="13">
        <f t="shared" si="3"/>
        <v>169039</v>
      </c>
      <c r="M15" s="12">
        <f t="shared" si="4"/>
        <v>3466544</v>
      </c>
      <c r="N15" s="12">
        <f t="shared" si="5"/>
        <v>3804622</v>
      </c>
      <c r="P15" s="14"/>
      <c r="Q15" s="14">
        <v>0</v>
      </c>
      <c r="R15" s="14">
        <v>0</v>
      </c>
      <c r="S15" s="14">
        <v>2213193</v>
      </c>
      <c r="T15" s="14">
        <v>0</v>
      </c>
      <c r="U15" s="14"/>
    </row>
    <row r="16" spans="1:21">
      <c r="B16" s="12" t="str">
        <f>'Part 1'!B16</f>
        <v>Sensor at x</v>
      </c>
      <c r="C16" s="12">
        <f>'Part 1'!C16</f>
        <v>2813357</v>
      </c>
      <c r="D16" s="12" t="str">
        <f>'Part 1'!D16</f>
        <v xml:space="preserve"> y</v>
      </c>
      <c r="E16" s="12">
        <f>'Part 1'!E16</f>
        <v>5535</v>
      </c>
      <c r="F16" s="12" t="str">
        <f>'Part 1'!F16</f>
        <v xml:space="preserve"> closest beacon is at x</v>
      </c>
      <c r="G16" s="12">
        <f>'Part 1'!G16</f>
        <v>3595763</v>
      </c>
      <c r="H16" s="12" t="str">
        <f>'Part 1'!H16</f>
        <v xml:space="preserve"> y</v>
      </c>
      <c r="I16" s="12">
        <f>'Part 1'!I16</f>
        <v>-77322</v>
      </c>
      <c r="J16" s="12">
        <f>'Part 1'!J16</f>
        <v>865263</v>
      </c>
      <c r="K16" s="13" t="str">
        <f t="shared" si="2"/>
        <v/>
      </c>
      <c r="L16" s="13" t="str">
        <f t="shared" si="3"/>
        <v/>
      </c>
      <c r="M16" s="12">
        <f t="shared" si="4"/>
        <v>0</v>
      </c>
      <c r="N16" s="12">
        <f t="shared" si="5"/>
        <v>0</v>
      </c>
      <c r="P16" s="14"/>
      <c r="Q16" s="14">
        <v>0</v>
      </c>
      <c r="R16" s="14">
        <v>0</v>
      </c>
      <c r="S16" s="14">
        <v>2213193</v>
      </c>
      <c r="T16" s="14">
        <v>1708802</v>
      </c>
      <c r="U16" s="14"/>
    </row>
    <row r="17" spans="2:21">
      <c r="B17" s="12" t="str">
        <f>'Part 1'!B17</f>
        <v>Sensor at x</v>
      </c>
      <c r="C17" s="12">
        <f>'Part 1'!C17</f>
        <v>382745</v>
      </c>
      <c r="D17" s="12" t="str">
        <f>'Part 1'!D17</f>
        <v xml:space="preserve"> y</v>
      </c>
      <c r="E17" s="12">
        <f>'Part 1'!E17</f>
        <v>1566522</v>
      </c>
      <c r="F17" s="12" t="str">
        <f>'Part 1'!F17</f>
        <v xml:space="preserve"> closest beacon is at x</v>
      </c>
      <c r="G17" s="12">
        <f>'Part 1'!G17</f>
        <v>1374835</v>
      </c>
      <c r="H17" s="12" t="str">
        <f>'Part 1'!H17</f>
        <v xml:space="preserve"> y</v>
      </c>
      <c r="I17" s="12">
        <f>'Part 1'!I17</f>
        <v>2000000</v>
      </c>
      <c r="J17" s="12">
        <f>'Part 1'!J17</f>
        <v>1425568</v>
      </c>
      <c r="K17" s="13" t="str">
        <f t="shared" si="2"/>
        <v/>
      </c>
      <c r="L17" s="13" t="str">
        <f t="shared" si="3"/>
        <v/>
      </c>
      <c r="M17" s="12">
        <f t="shared" si="4"/>
        <v>0</v>
      </c>
      <c r="N17" s="12">
        <f t="shared" si="5"/>
        <v>0</v>
      </c>
      <c r="P17" s="14"/>
      <c r="Q17" s="14">
        <v>0</v>
      </c>
      <c r="R17" s="14">
        <v>0</v>
      </c>
      <c r="S17" s="14">
        <v>2213193</v>
      </c>
      <c r="T17" s="14">
        <v>0</v>
      </c>
      <c r="U17" s="14"/>
    </row>
    <row r="18" spans="2:21">
      <c r="B18" s="12" t="str">
        <f>'Part 1'!B18</f>
        <v>Sensor at x</v>
      </c>
      <c r="C18" s="12">
        <f>'Part 1'!C18</f>
        <v>3585664</v>
      </c>
      <c r="D18" s="12" t="str">
        <f>'Part 1'!D18</f>
        <v xml:space="preserve"> y</v>
      </c>
      <c r="E18" s="12">
        <f>'Part 1'!E18</f>
        <v>538632</v>
      </c>
      <c r="F18" s="12" t="str">
        <f>'Part 1'!F18</f>
        <v xml:space="preserve"> closest beacon is at x</v>
      </c>
      <c r="G18" s="12">
        <f>'Part 1'!G18</f>
        <v>3595763</v>
      </c>
      <c r="H18" s="12" t="str">
        <f>'Part 1'!H18</f>
        <v xml:space="preserve"> y</v>
      </c>
      <c r="I18" s="12">
        <f>'Part 1'!I18</f>
        <v>-77322</v>
      </c>
      <c r="J18" s="12">
        <f>'Part 1'!J18</f>
        <v>626053</v>
      </c>
      <c r="K18" s="13" t="str">
        <f t="shared" si="2"/>
        <v/>
      </c>
      <c r="L18" s="13" t="str">
        <f t="shared" si="3"/>
        <v/>
      </c>
      <c r="M18" s="12">
        <f t="shared" si="4"/>
        <v>0</v>
      </c>
      <c r="N18" s="12">
        <f t="shared" si="5"/>
        <v>0</v>
      </c>
      <c r="P18" s="14"/>
      <c r="Q18" s="14">
        <v>0</v>
      </c>
      <c r="R18" s="14">
        <v>0</v>
      </c>
      <c r="S18" s="14">
        <v>2213193</v>
      </c>
      <c r="T18" s="14">
        <v>0</v>
      </c>
      <c r="U18" s="14"/>
    </row>
    <row r="19" spans="2:21">
      <c r="B19" s="12" t="str">
        <f>'Part 1'!B19</f>
        <v>Sensor at x</v>
      </c>
      <c r="C19" s="12">
        <f>'Part 1'!C19</f>
        <v>3979654</v>
      </c>
      <c r="D19" s="12" t="str">
        <f>'Part 1'!D19</f>
        <v xml:space="preserve"> y</v>
      </c>
      <c r="E19" s="12">
        <f>'Part 1'!E19</f>
        <v>2158646</v>
      </c>
      <c r="F19" s="12" t="str">
        <f>'Part 1'!F19</f>
        <v xml:space="preserve"> closest beacon is at x</v>
      </c>
      <c r="G19" s="12">
        <f>'Part 1'!G19</f>
        <v>3621412</v>
      </c>
      <c r="H19" s="12" t="str">
        <f>'Part 1'!H19</f>
        <v xml:space="preserve"> y</v>
      </c>
      <c r="I19" s="12">
        <f>'Part 1'!I19</f>
        <v>2239432</v>
      </c>
      <c r="J19" s="12">
        <f>'Part 1'!J19</f>
        <v>439028</v>
      </c>
      <c r="K19" s="13" t="str">
        <f t="shared" si="2"/>
        <v/>
      </c>
      <c r="L19" s="13" t="str">
        <f t="shared" si="3"/>
        <v/>
      </c>
      <c r="M19" s="12">
        <f t="shared" si="4"/>
        <v>0</v>
      </c>
      <c r="N19" s="12">
        <f t="shared" si="5"/>
        <v>0</v>
      </c>
      <c r="P19" s="14"/>
      <c r="Q19" s="14">
        <v>0</v>
      </c>
      <c r="R19" s="14">
        <v>0</v>
      </c>
      <c r="S19" s="14">
        <v>2213193</v>
      </c>
      <c r="T19" s="14">
        <v>632819</v>
      </c>
      <c r="U19" s="14"/>
    </row>
    <row r="20" spans="2:21">
      <c r="B20" s="12" t="str">
        <f>'Part 1'!B20</f>
        <v>Sensor at x</v>
      </c>
      <c r="C20" s="12">
        <f>'Part 1'!C20</f>
        <v>3996588</v>
      </c>
      <c r="D20" s="12" t="str">
        <f>'Part 1'!D20</f>
        <v xml:space="preserve"> y</v>
      </c>
      <c r="E20" s="12">
        <f>'Part 1'!E20</f>
        <v>2833167</v>
      </c>
      <c r="F20" s="12" t="str">
        <f>'Part 1'!F20</f>
        <v xml:space="preserve"> closest beacon is at x</v>
      </c>
      <c r="G20" s="12">
        <f>'Part 1'!G20</f>
        <v>4012908</v>
      </c>
      <c r="H20" s="12" t="str">
        <f>'Part 1'!H20</f>
        <v xml:space="preserve"> y</v>
      </c>
      <c r="I20" s="12">
        <f>'Part 1'!I20</f>
        <v>3083616</v>
      </c>
      <c r="J20" s="12">
        <f>'Part 1'!J20</f>
        <v>266769</v>
      </c>
      <c r="K20" s="13" t="str">
        <f t="shared" si="2"/>
        <v/>
      </c>
      <c r="L20" s="13" t="str">
        <f t="shared" si="3"/>
        <v/>
      </c>
      <c r="M20" s="12">
        <f t="shared" si="4"/>
        <v>0</v>
      </c>
      <c r="N20" s="12">
        <f t="shared" si="5"/>
        <v>0</v>
      </c>
      <c r="P20" s="14"/>
      <c r="Q20" s="14">
        <v>299027</v>
      </c>
      <c r="R20" s="14">
        <v>466463</v>
      </c>
      <c r="S20" s="14">
        <v>2213193</v>
      </c>
      <c r="T20" s="14">
        <v>0</v>
      </c>
      <c r="U20" s="14"/>
    </row>
    <row r="21" spans="2:21">
      <c r="B21" s="12" t="str">
        <f>'Part 1'!B21</f>
        <v>Sensor at x</v>
      </c>
      <c r="C21" s="12">
        <f>'Part 1'!C21</f>
        <v>3249383</v>
      </c>
      <c r="D21" s="12" t="str">
        <f>'Part 1'!D21</f>
        <v xml:space="preserve"> y</v>
      </c>
      <c r="E21" s="12">
        <f>'Part 1'!E21</f>
        <v>141800</v>
      </c>
      <c r="F21" s="12" t="str">
        <f>'Part 1'!F21</f>
        <v xml:space="preserve"> closest beacon is at x</v>
      </c>
      <c r="G21" s="12">
        <f>'Part 1'!G21</f>
        <v>3595763</v>
      </c>
      <c r="H21" s="12" t="str">
        <f>'Part 1'!H21</f>
        <v xml:space="preserve"> y</v>
      </c>
      <c r="I21" s="12">
        <f>'Part 1'!I21</f>
        <v>-77322</v>
      </c>
      <c r="J21" s="12">
        <f>'Part 1'!J21</f>
        <v>565502</v>
      </c>
      <c r="K21" s="13" t="str">
        <f t="shared" si="2"/>
        <v/>
      </c>
      <c r="L21" s="13" t="str">
        <f t="shared" si="3"/>
        <v/>
      </c>
      <c r="M21" s="12">
        <f t="shared" si="4"/>
        <v>0</v>
      </c>
      <c r="N21" s="12">
        <f t="shared" si="5"/>
        <v>0</v>
      </c>
      <c r="P21" s="14"/>
      <c r="Q21" s="14">
        <v>412993</v>
      </c>
      <c r="R21" s="14">
        <v>1006863</v>
      </c>
      <c r="S21" s="14">
        <v>2213193</v>
      </c>
      <c r="T21" s="14">
        <v>377396</v>
      </c>
      <c r="U21" s="14"/>
    </row>
    <row r="22" spans="2:21">
      <c r="B22" s="12" t="str">
        <f>'Part 1'!B22</f>
        <v>Sensor at x</v>
      </c>
      <c r="C22" s="12">
        <f>'Part 1'!C22</f>
        <v>3847114</v>
      </c>
      <c r="D22" s="12" t="str">
        <f>'Part 1'!D22</f>
        <v xml:space="preserve"> y</v>
      </c>
      <c r="E22" s="12">
        <f>'Part 1'!E22</f>
        <v>225529</v>
      </c>
      <c r="F22" s="12" t="str">
        <f>'Part 1'!F22</f>
        <v xml:space="preserve"> closest beacon is at x</v>
      </c>
      <c r="G22" s="12">
        <f>'Part 1'!G22</f>
        <v>3595763</v>
      </c>
      <c r="H22" s="12" t="str">
        <f>'Part 1'!H22</f>
        <v xml:space="preserve"> y</v>
      </c>
      <c r="I22" s="12">
        <f>'Part 1'!I22</f>
        <v>-77322</v>
      </c>
      <c r="J22" s="12">
        <f>'Part 1'!J22</f>
        <v>554202</v>
      </c>
      <c r="K22" s="13" t="str">
        <f t="shared" si="2"/>
        <v/>
      </c>
      <c r="L22" s="13" t="str">
        <f t="shared" si="3"/>
        <v/>
      </c>
      <c r="M22" s="12">
        <f t="shared" si="4"/>
        <v>0</v>
      </c>
      <c r="N22" s="12">
        <f t="shared" si="5"/>
        <v>0</v>
      </c>
      <c r="P22" s="14"/>
      <c r="Q22" s="14">
        <v>0</v>
      </c>
      <c r="R22" s="14">
        <v>1128535</v>
      </c>
      <c r="S22" s="14">
        <v>2213193</v>
      </c>
      <c r="T22" s="14">
        <v>0</v>
      </c>
      <c r="U22" s="14"/>
    </row>
    <row r="23" spans="2:21">
      <c r="B23" s="12" t="str">
        <f>'Part 1'!B23</f>
        <v>Sensor at x</v>
      </c>
      <c r="C23" s="12">
        <f>'Part 1'!C23</f>
        <v>3668737</v>
      </c>
      <c r="D23" s="12" t="str">
        <f>'Part 1'!D23</f>
        <v xml:space="preserve"> y</v>
      </c>
      <c r="E23" s="12">
        <f>'Part 1'!E23</f>
        <v>3720078</v>
      </c>
      <c r="F23" s="12" t="str">
        <f>'Part 1'!F23</f>
        <v xml:space="preserve"> closest beacon is at x</v>
      </c>
      <c r="G23" s="12">
        <f>'Part 1'!G23</f>
        <v>3184941</v>
      </c>
      <c r="H23" s="12" t="str">
        <f>'Part 1'!H23</f>
        <v xml:space="preserve"> y</v>
      </c>
      <c r="I23" s="12">
        <f>'Part 1'!I23</f>
        <v>3924923</v>
      </c>
      <c r="J23" s="12">
        <f>'Part 1'!J23</f>
        <v>688641</v>
      </c>
      <c r="K23" s="13">
        <f t="shared" si="2"/>
        <v>352360</v>
      </c>
      <c r="L23" s="13">
        <f t="shared" si="3"/>
        <v>336281</v>
      </c>
      <c r="M23" s="12">
        <f t="shared" si="4"/>
        <v>3332456</v>
      </c>
      <c r="N23" s="12">
        <f t="shared" si="5"/>
        <v>4000000</v>
      </c>
      <c r="P23" s="14"/>
      <c r="Q23" s="14">
        <v>369925</v>
      </c>
      <c r="R23" s="14">
        <v>2283207</v>
      </c>
      <c r="S23" s="14">
        <v>2213193</v>
      </c>
      <c r="T23" s="14">
        <v>0</v>
      </c>
      <c r="U23" s="14"/>
    </row>
    <row r="24" spans="2:21">
      <c r="B24" s="12" t="str">
        <f>'Part 1'!B24</f>
        <v>Sensor at x</v>
      </c>
      <c r="C24" s="12">
        <f>'Part 1'!C24</f>
        <v>1761961</v>
      </c>
      <c r="D24" s="12" t="str">
        <f>'Part 1'!D24</f>
        <v xml:space="preserve"> y</v>
      </c>
      <c r="E24" s="12">
        <f>'Part 1'!E24</f>
        <v>680560</v>
      </c>
      <c r="F24" s="12" t="str">
        <f>'Part 1'!F24</f>
        <v xml:space="preserve"> closest beacon is at x</v>
      </c>
      <c r="G24" s="12">
        <f>'Part 1'!G24</f>
        <v>1374835</v>
      </c>
      <c r="H24" s="12" t="str">
        <f>'Part 1'!H24</f>
        <v xml:space="preserve"> y</v>
      </c>
      <c r="I24" s="12">
        <f>'Part 1'!I24</f>
        <v>2000000</v>
      </c>
      <c r="J24" s="12">
        <f>'Part 1'!J24</f>
        <v>1706566</v>
      </c>
      <c r="K24" s="13" t="str">
        <f t="shared" si="2"/>
        <v/>
      </c>
      <c r="L24" s="13" t="str">
        <f t="shared" si="3"/>
        <v/>
      </c>
      <c r="M24" s="12">
        <f t="shared" si="4"/>
        <v>0</v>
      </c>
      <c r="N24" s="12">
        <f t="shared" si="5"/>
        <v>0</v>
      </c>
      <c r="P24" s="14"/>
      <c r="Q24" s="14">
        <v>2160800</v>
      </c>
      <c r="R24" s="14">
        <v>2952472</v>
      </c>
      <c r="S24" s="14">
        <v>2213193</v>
      </c>
      <c r="T24" s="14">
        <v>252052</v>
      </c>
      <c r="U24" s="14"/>
    </row>
    <row r="25" spans="2:21">
      <c r="B25" s="12" t="str">
        <f>'Part 1'!B25</f>
        <v>Sensor at x</v>
      </c>
      <c r="C25" s="12">
        <f>'Part 1'!C25</f>
        <v>2556636</v>
      </c>
      <c r="D25" s="12" t="str">
        <f>'Part 1'!D25</f>
        <v xml:space="preserve"> y</v>
      </c>
      <c r="E25" s="12">
        <f>'Part 1'!E25</f>
        <v>2213691</v>
      </c>
      <c r="F25" s="12" t="str">
        <f>'Part 1'!F25</f>
        <v xml:space="preserve"> closest beacon is at x</v>
      </c>
      <c r="G25" s="12">
        <f>'Part 1'!G25</f>
        <v>3621412</v>
      </c>
      <c r="H25" s="12" t="str">
        <f>'Part 1'!H25</f>
        <v xml:space="preserve"> y</v>
      </c>
      <c r="I25" s="12">
        <f>'Part 1'!I25</f>
        <v>2239432</v>
      </c>
      <c r="J25" s="12">
        <f>'Part 1'!J25</f>
        <v>1090517</v>
      </c>
      <c r="K25" s="13" t="str">
        <f t="shared" si="2"/>
        <v/>
      </c>
      <c r="L25" s="13" t="str">
        <f t="shared" si="3"/>
        <v/>
      </c>
      <c r="M25" s="12">
        <f t="shared" si="4"/>
        <v>0</v>
      </c>
      <c r="N25" s="12">
        <f t="shared" si="5"/>
        <v>0</v>
      </c>
      <c r="P25" s="14"/>
      <c r="Q25" s="14">
        <v>2585574</v>
      </c>
      <c r="R25" s="14">
        <v>3433500</v>
      </c>
      <c r="S25" s="14">
        <v>2213193</v>
      </c>
      <c r="T25" s="14">
        <v>0</v>
      </c>
      <c r="U25" s="14"/>
    </row>
    <row r="26" spans="2:21">
      <c r="B26" s="12" t="str">
        <f>'Part 1'!B26</f>
        <v>Sensor at x</v>
      </c>
      <c r="C26" s="12">
        <f>'Part 1'!C26</f>
        <v>65365</v>
      </c>
      <c r="D26" s="12" t="str">
        <f>'Part 1'!D26</f>
        <v xml:space="preserve"> y</v>
      </c>
      <c r="E26" s="12">
        <f>'Part 1'!E26</f>
        <v>215977</v>
      </c>
      <c r="F26" s="12" t="str">
        <f>'Part 1'!F26</f>
        <v xml:space="preserve"> closest beacon is at x</v>
      </c>
      <c r="G26" s="12">
        <f>'Part 1'!G26</f>
        <v>346716</v>
      </c>
      <c r="H26" s="12" t="str">
        <f>'Part 1'!H26</f>
        <v xml:space="preserve"> y</v>
      </c>
      <c r="I26" s="12">
        <f>'Part 1'!I26</f>
        <v>-573228</v>
      </c>
      <c r="J26" s="12">
        <f>'Part 1'!J26</f>
        <v>1070556</v>
      </c>
      <c r="K26" s="13" t="str">
        <f t="shared" si="2"/>
        <v/>
      </c>
      <c r="L26" s="13" t="str">
        <f t="shared" si="3"/>
        <v/>
      </c>
      <c r="M26" s="12">
        <f t="shared" si="4"/>
        <v>0</v>
      </c>
      <c r="N26" s="12">
        <f t="shared" si="5"/>
        <v>0</v>
      </c>
      <c r="P26" s="14"/>
      <c r="Q26" s="14">
        <v>2868272</v>
      </c>
      <c r="R26" s="14">
        <v>3433500</v>
      </c>
      <c r="S26" s="14">
        <v>2213193</v>
      </c>
      <c r="T26" s="14">
        <v>331573</v>
      </c>
      <c r="U26" s="14"/>
    </row>
    <row r="27" spans="2:21">
      <c r="B27" s="12" t="str">
        <f>'Part 1'!B27</f>
        <v>Sensor at x</v>
      </c>
      <c r="C27" s="12">
        <f>'Part 1'!C27</f>
        <v>709928</v>
      </c>
      <c r="D27" s="12" t="str">
        <f>'Part 1'!D27</f>
        <v xml:space="preserve"> y</v>
      </c>
      <c r="E27" s="12">
        <f>'Part 1'!E27</f>
        <v>2270200</v>
      </c>
      <c r="F27" s="12" t="str">
        <f>'Part 1'!F27</f>
        <v xml:space="preserve"> closest beacon is at x</v>
      </c>
      <c r="G27" s="12">
        <f>'Part 1'!G27</f>
        <v>1374835</v>
      </c>
      <c r="H27" s="12" t="str">
        <f>'Part 1'!H27</f>
        <v xml:space="preserve"> y</v>
      </c>
      <c r="I27" s="12">
        <f>'Part 1'!I27</f>
        <v>2000000</v>
      </c>
      <c r="J27" s="12">
        <f>'Part 1'!J27</f>
        <v>935107</v>
      </c>
      <c r="K27" s="13" t="str">
        <f t="shared" si="2"/>
        <v/>
      </c>
      <c r="L27" s="13" t="str">
        <f t="shared" si="3"/>
        <v/>
      </c>
      <c r="M27" s="12">
        <f t="shared" si="4"/>
        <v>0</v>
      </c>
      <c r="N27" s="12">
        <f t="shared" si="5"/>
        <v>0</v>
      </c>
      <c r="P27" s="14"/>
      <c r="Q27" s="14">
        <v>3433502</v>
      </c>
      <c r="R27" s="14">
        <v>3837664</v>
      </c>
      <c r="S27" s="14">
        <v>2213193</v>
      </c>
      <c r="T27" s="14">
        <v>0</v>
      </c>
      <c r="U27" s="14"/>
    </row>
    <row r="28" spans="2:21">
      <c r="B28" s="12" t="str">
        <f>'Part 1'!B28</f>
        <v>Sensor at x</v>
      </c>
      <c r="C28" s="12">
        <f>'Part 1'!C28</f>
        <v>3673956</v>
      </c>
      <c r="D28" s="12" t="str">
        <f>'Part 1'!D28</f>
        <v xml:space="preserve"> y</v>
      </c>
      <c r="E28" s="12">
        <f>'Part 1'!E28</f>
        <v>2670437</v>
      </c>
      <c r="F28" s="12" t="str">
        <f>'Part 1'!F28</f>
        <v xml:space="preserve"> closest beacon is at x</v>
      </c>
      <c r="G28" s="12">
        <f>'Part 1'!G28</f>
        <v>4029651</v>
      </c>
      <c r="H28" s="12" t="str">
        <f>'Part 1'!H28</f>
        <v xml:space="preserve"> y</v>
      </c>
      <c r="I28" s="12">
        <f>'Part 1'!I28</f>
        <v>2547743</v>
      </c>
      <c r="J28" s="12">
        <f>'Part 1'!J28</f>
        <v>478389</v>
      </c>
      <c r="K28" s="13" t="str">
        <f t="shared" si="2"/>
        <v/>
      </c>
      <c r="L28" s="13" t="str">
        <f t="shared" si="3"/>
        <v/>
      </c>
      <c r="M28" s="12">
        <f t="shared" si="4"/>
        <v>0</v>
      </c>
      <c r="N28" s="12">
        <f t="shared" si="5"/>
        <v>0</v>
      </c>
      <c r="P28" s="14"/>
      <c r="Q28" s="14">
        <v>3433502</v>
      </c>
      <c r="R28" s="14">
        <v>3914410</v>
      </c>
      <c r="S28" s="14">
        <v>2213193</v>
      </c>
      <c r="T28" s="14">
        <v>0</v>
      </c>
      <c r="U28" s="14"/>
    </row>
    <row r="29" spans="2:21">
      <c r="B29" s="12" t="str">
        <f>'Part 1'!B29</f>
        <v>Sensor at x</v>
      </c>
      <c r="C29" s="12">
        <f>'Part 1'!C29</f>
        <v>3250958</v>
      </c>
      <c r="D29" s="12" t="str">
        <f>'Part 1'!D29</f>
        <v xml:space="preserve"> y</v>
      </c>
      <c r="E29" s="12">
        <f>'Part 1'!E29</f>
        <v>3999227</v>
      </c>
      <c r="F29" s="12" t="str">
        <f>'Part 1'!F29</f>
        <v xml:space="preserve"> closest beacon is at x</v>
      </c>
      <c r="G29" s="12">
        <f>'Part 1'!G29</f>
        <v>3184941</v>
      </c>
      <c r="H29" s="12" t="str">
        <f>'Part 1'!H29</f>
        <v xml:space="preserve"> y</v>
      </c>
      <c r="I29" s="12">
        <f>'Part 1'!I29</f>
        <v>3924923</v>
      </c>
      <c r="J29" s="12">
        <f>'Part 1'!J29</f>
        <v>140321</v>
      </c>
      <c r="K29" s="13" t="str">
        <f t="shared" si="2"/>
        <v/>
      </c>
      <c r="L29" s="13" t="str">
        <f t="shared" si="3"/>
        <v/>
      </c>
      <c r="M29" s="12">
        <f t="shared" si="4"/>
        <v>0</v>
      </c>
      <c r="N29" s="12">
        <f t="shared" si="5"/>
        <v>0</v>
      </c>
      <c r="P29" s="14"/>
      <c r="Q29" s="14">
        <v>3805024</v>
      </c>
      <c r="R29" s="14">
        <v>4000000</v>
      </c>
      <c r="S29" s="14">
        <v>2213193</v>
      </c>
      <c r="T29" s="14">
        <v>0</v>
      </c>
      <c r="U29" s="14"/>
    </row>
    <row r="30" spans="2:21">
      <c r="B30" s="12" t="str">
        <f>'Part 1'!B30</f>
        <v>Sensor at x</v>
      </c>
      <c r="C30" s="12">
        <f>'Part 1'!C30</f>
        <v>3009537</v>
      </c>
      <c r="D30" s="12" t="str">
        <f>'Part 1'!D30</f>
        <v xml:space="preserve"> y</v>
      </c>
      <c r="E30" s="12">
        <f>'Part 1'!E30</f>
        <v>3292368</v>
      </c>
      <c r="F30" s="12" t="str">
        <f>'Part 1'!F30</f>
        <v xml:space="preserve"> closest beacon is at x</v>
      </c>
      <c r="G30" s="12">
        <f>'Part 1'!G30</f>
        <v>3184941</v>
      </c>
      <c r="H30" s="12" t="str">
        <f>'Part 1'!H30</f>
        <v xml:space="preserve"> y</v>
      </c>
      <c r="I30" s="12">
        <f>'Part 1'!I30</f>
        <v>3924923</v>
      </c>
      <c r="J30" s="12">
        <f>'Part 1'!J30</f>
        <v>807959</v>
      </c>
      <c r="K30" s="13">
        <f t="shared" si="2"/>
        <v>75350</v>
      </c>
      <c r="L30" s="13">
        <f t="shared" si="3"/>
        <v>732609</v>
      </c>
      <c r="M30" s="12">
        <f t="shared" si="4"/>
        <v>2276928</v>
      </c>
      <c r="N30" s="12">
        <f t="shared" si="5"/>
        <v>3742146</v>
      </c>
      <c r="P30" s="14"/>
      <c r="Q30" s="14">
        <v>3905830</v>
      </c>
      <c r="R30" s="14">
        <v>4000000</v>
      </c>
      <c r="S30" s="14">
        <v>2213193</v>
      </c>
      <c r="T30" s="14">
        <v>0</v>
      </c>
      <c r="U30" s="14"/>
    </row>
    <row r="31" spans="2:21">
      <c r="P31" s="14"/>
      <c r="Q31" s="14">
        <v>3993176</v>
      </c>
      <c r="R31" s="14">
        <v>4000000</v>
      </c>
      <c r="S31" s="14"/>
      <c r="T31" s="14"/>
      <c r="U31" s="14"/>
    </row>
    <row r="32" spans="2:21">
      <c r="B32" s="1" t="s">
        <v>6</v>
      </c>
      <c r="C32">
        <f>MAX(C4:C30)</f>
        <v>3996588</v>
      </c>
      <c r="E32">
        <f>MAX(E4:E30)</f>
        <v>3999227</v>
      </c>
      <c r="G32">
        <f>MAX(G4:G30)</f>
        <v>4029651</v>
      </c>
      <c r="I32">
        <f>MAX(I4:I30)</f>
        <v>3924923</v>
      </c>
      <c r="M32">
        <f>MAX(M4:M30)</f>
        <v>3900836</v>
      </c>
      <c r="N32">
        <f>MAX(N4:N30)</f>
        <v>4000000</v>
      </c>
      <c r="O32">
        <f>SUM(O4:O30)</f>
        <v>0</v>
      </c>
    </row>
    <row r="33" spans="2:14">
      <c r="B33" s="1" t="s">
        <v>7</v>
      </c>
      <c r="C33">
        <f>MIN(C4:C30)</f>
        <v>61030</v>
      </c>
      <c r="E33">
        <f>MIN(E4:E30)</f>
        <v>5535</v>
      </c>
      <c r="G33">
        <f>MIN(G4:G30)</f>
        <v>-467419</v>
      </c>
      <c r="I33">
        <f>MIN(I4:I30)</f>
        <v>-573228</v>
      </c>
      <c r="M33">
        <f>MIN(M4:M30)</f>
        <v>0</v>
      </c>
      <c r="N33">
        <f>MIN(N4:N30)</f>
        <v>0</v>
      </c>
    </row>
    <row r="35" spans="2:14">
      <c r="B35" s="1"/>
    </row>
    <row r="36" spans="2:14">
      <c r="B36" s="1"/>
    </row>
    <row r="37" spans="2:14">
      <c r="B37" s="1"/>
    </row>
    <row r="38" spans="2:14">
      <c r="B38" s="1"/>
    </row>
    <row r="39" spans="2:14">
      <c r="B39" s="1"/>
    </row>
    <row r="40" spans="2:14">
      <c r="B40" s="1"/>
    </row>
    <row r="41" spans="2:14">
      <c r="B41" s="1"/>
    </row>
    <row r="42" spans="2:14">
      <c r="B42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olvePart2">
                <anchor moveWithCells="1" sizeWithCells="1">
                  <from>
                    <xdr:col>1</xdr:col>
                    <xdr:colOff>0</xdr:colOff>
                    <xdr:row>1</xdr:row>
                    <xdr:rowOff>47625</xdr:rowOff>
                  </from>
                  <to>
                    <xdr:col>2</xdr:col>
                    <xdr:colOff>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685A513F692F646BCC84B542CA4CC5D" ma:contentTypeVersion="15" ma:contentTypeDescription="Create a new document." ma:contentTypeScope="" ma:versionID="7dd85db2f494386efe1333961dd09ad0">
  <xsd:schema xmlns:xsd="http://www.w3.org/2001/XMLSchema" xmlns:xs="http://www.w3.org/2001/XMLSchema" xmlns:p="http://schemas.microsoft.com/office/2006/metadata/properties" xmlns:ns3="7f6cce75-bc3b-46e3-bafd-ea00ba5ea307" xmlns:ns4="caf2b2b8-576b-4a8f-9b70-33c8e0e55dc8" targetNamespace="http://schemas.microsoft.com/office/2006/metadata/properties" ma:root="true" ma:fieldsID="8bab6bef525795f11be4009163f0742e" ns3:_="" ns4:_="">
    <xsd:import namespace="7f6cce75-bc3b-46e3-bafd-ea00ba5ea307"/>
    <xsd:import namespace="caf2b2b8-576b-4a8f-9b70-33c8e0e55dc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_activity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6cce75-bc3b-46e3-bafd-ea00ba5ea30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_activity" ma:index="19" nillable="true" ma:displayName="_activity" ma:hidden="true" ma:internalName="_activity">
      <xsd:simpleType>
        <xsd:restriction base="dms:Note"/>
      </xsd:simpleType>
    </xsd:element>
    <xsd:element name="MediaServiceObjectDetectorVersions" ma:index="20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ystemTags" ma:index="21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f2b2b8-576b-4a8f-9b70-33c8e0e55dc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7f6cce75-bc3b-46e3-bafd-ea00ba5ea307" xsi:nil="true"/>
  </documentManagement>
</p:properties>
</file>

<file path=customXml/itemProps1.xml><?xml version="1.0" encoding="utf-8"?>
<ds:datastoreItem xmlns:ds="http://schemas.openxmlformats.org/officeDocument/2006/customXml" ds:itemID="{758D365B-5AEF-4B9D-966F-5FF4723FA71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f6cce75-bc3b-46e3-bafd-ea00ba5ea307"/>
    <ds:schemaRef ds:uri="caf2b2b8-576b-4a8f-9b70-33c8e0e55dc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66D9B4D-7F21-47BA-B264-06F3A15A9D7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F3CB0A9-17D8-44EC-BB73-8B0DDC5744E8}">
  <ds:schemaRefs>
    <ds:schemaRef ds:uri="http://purl.org/dc/elements/1.1/"/>
    <ds:schemaRef ds:uri="http://schemas.microsoft.com/office/infopath/2007/PartnerControls"/>
    <ds:schemaRef ds:uri="http://schemas.microsoft.com/office/2006/metadata/properties"/>
    <ds:schemaRef ds:uri="http://schemas.openxmlformats.org/package/2006/metadata/core-properties"/>
    <ds:schemaRef ds:uri="http://purl.org/dc/terms/"/>
    <ds:schemaRef ds:uri="http://schemas.microsoft.com/office/2006/documentManagement/types"/>
    <ds:schemaRef ds:uri="http://www.w3.org/XML/1998/namespace"/>
    <ds:schemaRef ds:uri="caf2b2b8-576b-4a8f-9b70-33c8e0e55dc8"/>
    <ds:schemaRef ds:uri="7f6cce75-bc3b-46e3-bafd-ea00ba5ea307"/>
    <ds:schemaRef ds:uri="http://purl.org/dc/dcmitype/"/>
  </ds:schemaRefs>
</ds:datastoreItem>
</file>

<file path=docMetadata/LabelInfo.xml><?xml version="1.0" encoding="utf-8"?>
<clbl:labelList xmlns:clbl="http://schemas.microsoft.com/office/2020/mipLabelMetadata">
  <clbl:label id="{37cd273a-1cec-4aae-a297-41480ea54f8d}" enabled="0" method="" siteId="{37cd273a-1cec-4aae-a297-41480ea54f8d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Input</vt:lpstr>
      <vt:lpstr>Part 1</vt:lpstr>
      <vt:lpstr>Part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Pilotte</dc:creator>
  <cp:lastModifiedBy>Campos Samper, Alejandro</cp:lastModifiedBy>
  <dcterms:created xsi:type="dcterms:W3CDTF">2022-12-15T04:58:00Z</dcterms:created>
  <dcterms:modified xsi:type="dcterms:W3CDTF">2024-06-16T22:38:21Z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0x0101002685A513F692F646BCC84B542CA4CC5D</vt:lpwstr>
  </property>
</Properties>
</file>